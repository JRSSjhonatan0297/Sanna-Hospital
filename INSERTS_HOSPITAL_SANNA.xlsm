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unidadupnedu-my.sharepoint.com/personal/n00197848_upn_pe/Documents/2021-02/EXTRAS/MOANSO - TRUJILLO/PROYECTO/"/>
    </mc:Choice>
  </mc:AlternateContent>
  <xr:revisionPtr revIDLastSave="114" documentId="11_056BD1428F3DC3A97DD83F39D58AC49F10B75A2C" xr6:coauthVersionLast="47" xr6:coauthVersionMax="47" xr10:uidLastSave="{6B4B0BF0-5EC8-4302-AF4D-3C7B00AE1EEA}"/>
  <bookViews>
    <workbookView xWindow="-120" yWindow="-13620" windowWidth="24240" windowHeight="13140" tabRatio="649" firstSheet="3" activeTab="9" xr2:uid="{00000000-000D-0000-FFFF-FFFF00000000}"/>
  </bookViews>
  <sheets>
    <sheet name="SEDE" sheetId="6" r:id="rId1"/>
    <sheet name="CARGO" sheetId="10" r:id="rId2"/>
    <sheet name="AREA" sheetId="11" r:id="rId3"/>
    <sheet name="APLICANTES" sheetId="3" r:id="rId4"/>
    <sheet name="REQUERIMIENTO" sheetId="21" r:id="rId5"/>
    <sheet name="Requerimientos_aplicantes" sheetId="5" r:id="rId6"/>
    <sheet name="RENDIMIENTO" sheetId="24" r:id="rId7"/>
    <sheet name="EMPLEADO" sheetId="12" r:id="rId8"/>
    <sheet name="ASISTENCIAS" sheetId="22" r:id="rId9"/>
    <sheet name="OBSERVACION" sheetId="2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2" l="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5" i="11"/>
  <c r="C50" i="24"/>
  <c r="D50" i="24"/>
  <c r="E50" i="24"/>
  <c r="F50" i="24"/>
  <c r="C51" i="24"/>
  <c r="D51" i="24"/>
  <c r="E51" i="24"/>
  <c r="F51" i="24"/>
  <c r="C52" i="24"/>
  <c r="D52" i="24"/>
  <c r="E52" i="24"/>
  <c r="F52" i="24"/>
  <c r="C53" i="24"/>
  <c r="D53" i="24"/>
  <c r="E53" i="24"/>
  <c r="F53" i="24"/>
  <c r="C54" i="24"/>
  <c r="D54" i="24"/>
  <c r="E54" i="24"/>
  <c r="F54" i="24"/>
  <c r="C55" i="24"/>
  <c r="D55" i="24"/>
  <c r="E55" i="24"/>
  <c r="F55" i="24"/>
  <c r="C56" i="24"/>
  <c r="D56" i="24"/>
  <c r="E56" i="24"/>
  <c r="F56" i="24"/>
  <c r="C57" i="24"/>
  <c r="D57" i="24"/>
  <c r="E57" i="24"/>
  <c r="F57" i="24"/>
  <c r="C58" i="24"/>
  <c r="D58" i="24"/>
  <c r="E58" i="24"/>
  <c r="F58" i="24"/>
  <c r="C59" i="24"/>
  <c r="D59" i="24"/>
  <c r="E59" i="24"/>
  <c r="F59" i="24"/>
  <c r="C60" i="24"/>
  <c r="D60" i="24"/>
  <c r="E60" i="24"/>
  <c r="F60" i="24"/>
  <c r="C61" i="24"/>
  <c r="D61" i="24"/>
  <c r="E61" i="24"/>
  <c r="F61" i="24"/>
  <c r="C62" i="24"/>
  <c r="D62" i="24"/>
  <c r="E62" i="24"/>
  <c r="F62" i="24"/>
  <c r="C63" i="24"/>
  <c r="D63" i="24"/>
  <c r="E63" i="24"/>
  <c r="F63" i="24"/>
  <c r="C64" i="24"/>
  <c r="D64" i="24"/>
  <c r="E64" i="24"/>
  <c r="F64" i="24"/>
  <c r="C65" i="24"/>
  <c r="D65" i="24"/>
  <c r="E65" i="24"/>
  <c r="F65" i="24"/>
  <c r="C66" i="24"/>
  <c r="D66" i="24"/>
  <c r="E66" i="24"/>
  <c r="F66" i="24"/>
  <c r="C67" i="24"/>
  <c r="D67" i="24"/>
  <c r="E67" i="24"/>
  <c r="F67" i="24"/>
  <c r="C68" i="24"/>
  <c r="D68" i="24"/>
  <c r="E68" i="24"/>
  <c r="F68" i="24"/>
  <c r="C69" i="24"/>
  <c r="D69" i="24"/>
  <c r="E69" i="24"/>
  <c r="F69" i="24"/>
  <c r="C70" i="24"/>
  <c r="D70" i="24"/>
  <c r="E70" i="24"/>
  <c r="F70" i="24"/>
  <c r="C71" i="24"/>
  <c r="D71" i="24"/>
  <c r="E71" i="24"/>
  <c r="F71" i="24"/>
  <c r="C72" i="24"/>
  <c r="D72" i="24"/>
  <c r="E72" i="24"/>
  <c r="F72" i="24"/>
  <c r="C73" i="24"/>
  <c r="D73" i="24"/>
  <c r="E73" i="24"/>
  <c r="F73" i="24"/>
  <c r="C74" i="24"/>
  <c r="D74" i="24"/>
  <c r="E74" i="24"/>
  <c r="F74" i="24"/>
  <c r="C75" i="24"/>
  <c r="D75" i="24"/>
  <c r="E75" i="24"/>
  <c r="F75" i="24"/>
  <c r="C76" i="24"/>
  <c r="D76" i="24"/>
  <c r="E76" i="24"/>
  <c r="F76" i="24"/>
  <c r="C77" i="24"/>
  <c r="D77" i="24"/>
  <c r="E77" i="24"/>
  <c r="F77" i="24"/>
  <c r="C78" i="24"/>
  <c r="D78" i="24"/>
  <c r="E78" i="24"/>
  <c r="F78" i="24"/>
  <c r="C79" i="24"/>
  <c r="D79" i="24"/>
  <c r="E79" i="24"/>
  <c r="F79" i="24"/>
  <c r="C80" i="24"/>
  <c r="D80" i="24"/>
  <c r="E80" i="24"/>
  <c r="F80" i="24"/>
  <c r="C81" i="24"/>
  <c r="D81" i="24"/>
  <c r="E81" i="24"/>
  <c r="F81" i="24"/>
  <c r="C82" i="24"/>
  <c r="D82" i="24"/>
  <c r="E82" i="24"/>
  <c r="F82" i="24"/>
  <c r="C83" i="24"/>
  <c r="D83" i="24"/>
  <c r="E83" i="24"/>
  <c r="F83" i="24"/>
  <c r="C84" i="24"/>
  <c r="D84" i="24"/>
  <c r="E84" i="24"/>
  <c r="F84" i="24"/>
  <c r="C85" i="24"/>
  <c r="D85" i="24"/>
  <c r="E85" i="24"/>
  <c r="F85" i="24"/>
  <c r="C86" i="24"/>
  <c r="D86" i="24"/>
  <c r="E86" i="24"/>
  <c r="F86" i="24"/>
  <c r="C87" i="24"/>
  <c r="D87" i="24"/>
  <c r="E87" i="24"/>
  <c r="F87" i="24"/>
  <c r="C88" i="24"/>
  <c r="D88" i="24"/>
  <c r="E88" i="24"/>
  <c r="F88" i="24"/>
  <c r="C89" i="24"/>
  <c r="D89" i="24"/>
  <c r="E89" i="24"/>
  <c r="F89" i="24"/>
  <c r="C90" i="24"/>
  <c r="D90" i="24"/>
  <c r="E90" i="24"/>
  <c r="F90" i="24"/>
  <c r="C91" i="24"/>
  <c r="D91" i="24"/>
  <c r="E91" i="24"/>
  <c r="F91" i="24"/>
  <c r="C92" i="24"/>
  <c r="D92" i="24"/>
  <c r="E92" i="24"/>
  <c r="F92" i="24"/>
  <c r="C93" i="24"/>
  <c r="D93" i="24"/>
  <c r="E93" i="24"/>
  <c r="F93" i="24"/>
  <c r="C94" i="24"/>
  <c r="D94" i="24"/>
  <c r="E94" i="24"/>
  <c r="F94" i="24"/>
  <c r="C95" i="24"/>
  <c r="D95" i="24"/>
  <c r="E95" i="24"/>
  <c r="F95" i="24"/>
  <c r="C96" i="24"/>
  <c r="D96" i="24"/>
  <c r="E96" i="24"/>
  <c r="F96" i="24"/>
  <c r="C97" i="24"/>
  <c r="D97" i="24"/>
  <c r="E97" i="24"/>
  <c r="F97" i="24"/>
  <c r="C98" i="24"/>
  <c r="D98" i="24"/>
  <c r="E98" i="24"/>
  <c r="F98" i="24"/>
  <c r="C99" i="24"/>
  <c r="D99" i="24"/>
  <c r="E99" i="24"/>
  <c r="F99" i="24"/>
  <c r="C100" i="24"/>
  <c r="D100" i="24"/>
  <c r="E100" i="24"/>
  <c r="F100" i="24"/>
  <c r="C101" i="24"/>
  <c r="D101" i="24"/>
  <c r="E101" i="24"/>
  <c r="F101" i="24"/>
  <c r="C102" i="24"/>
  <c r="D102" i="24"/>
  <c r="E102" i="24"/>
  <c r="F102" i="24"/>
  <c r="C103" i="24"/>
  <c r="D103" i="24"/>
  <c r="E103" i="24"/>
  <c r="F103" i="24"/>
  <c r="C104" i="24"/>
  <c r="D104" i="24"/>
  <c r="E104" i="24"/>
  <c r="F104" i="24"/>
  <c r="C105" i="24"/>
  <c r="D105" i="24"/>
  <c r="E105" i="24"/>
  <c r="F105" i="24"/>
  <c r="C106" i="24"/>
  <c r="D106" i="24"/>
  <c r="E106" i="24"/>
  <c r="F106" i="24"/>
  <c r="C18" i="24"/>
  <c r="D18" i="24"/>
  <c r="E18" i="24"/>
  <c r="F18" i="24"/>
  <c r="C19" i="24"/>
  <c r="D19" i="24"/>
  <c r="E19" i="24"/>
  <c r="F19" i="24"/>
  <c r="C20" i="24"/>
  <c r="D20" i="24"/>
  <c r="E20" i="24"/>
  <c r="F20" i="24"/>
  <c r="C21" i="24"/>
  <c r="D21" i="24"/>
  <c r="E21" i="24"/>
  <c r="F21" i="24"/>
  <c r="C22" i="24"/>
  <c r="D22" i="24"/>
  <c r="E22" i="24"/>
  <c r="F22" i="24"/>
  <c r="C23" i="24"/>
  <c r="D23" i="24"/>
  <c r="E23" i="24"/>
  <c r="F23" i="24"/>
  <c r="C24" i="24"/>
  <c r="D24" i="24"/>
  <c r="E24" i="24"/>
  <c r="F24" i="24"/>
  <c r="C25" i="24"/>
  <c r="D25" i="24"/>
  <c r="E25" i="24"/>
  <c r="F25" i="24"/>
  <c r="C26" i="24"/>
  <c r="D26" i="24"/>
  <c r="E26" i="24"/>
  <c r="F26" i="24"/>
  <c r="C27" i="24"/>
  <c r="D27" i="24"/>
  <c r="E27" i="24"/>
  <c r="F27" i="24"/>
  <c r="C28" i="24"/>
  <c r="D28" i="24"/>
  <c r="E28" i="24"/>
  <c r="F28" i="24"/>
  <c r="C29" i="24"/>
  <c r="D29" i="24"/>
  <c r="E29" i="24"/>
  <c r="F29" i="24"/>
  <c r="C30" i="24"/>
  <c r="D30" i="24"/>
  <c r="E30" i="24"/>
  <c r="F30" i="24"/>
  <c r="C31" i="24"/>
  <c r="D31" i="24"/>
  <c r="E31" i="24"/>
  <c r="F31" i="24"/>
  <c r="C32" i="24"/>
  <c r="D32" i="24"/>
  <c r="E32" i="24"/>
  <c r="F32" i="24"/>
  <c r="C33" i="24"/>
  <c r="D33" i="24"/>
  <c r="E33" i="24"/>
  <c r="F33" i="24"/>
  <c r="C34" i="24"/>
  <c r="D34" i="24"/>
  <c r="E34" i="24"/>
  <c r="F34" i="24"/>
  <c r="C35" i="24"/>
  <c r="D35" i="24"/>
  <c r="E35" i="24"/>
  <c r="F35" i="24"/>
  <c r="C36" i="24"/>
  <c r="D36" i="24"/>
  <c r="E36" i="24"/>
  <c r="F36" i="24"/>
  <c r="C37" i="24"/>
  <c r="D37" i="24"/>
  <c r="E37" i="24"/>
  <c r="F37" i="24"/>
  <c r="C38" i="24"/>
  <c r="D38" i="24"/>
  <c r="E38" i="24"/>
  <c r="F38" i="24"/>
  <c r="C39" i="24"/>
  <c r="D39" i="24"/>
  <c r="E39" i="24"/>
  <c r="F39" i="24"/>
  <c r="C40" i="24"/>
  <c r="D40" i="24"/>
  <c r="E40" i="24"/>
  <c r="F40" i="24"/>
  <c r="C41" i="24"/>
  <c r="D41" i="24"/>
  <c r="E41" i="24"/>
  <c r="F41" i="24"/>
  <c r="C42" i="24"/>
  <c r="D42" i="24"/>
  <c r="E42" i="24"/>
  <c r="F42" i="24"/>
  <c r="C43" i="24"/>
  <c r="D43" i="24"/>
  <c r="E43" i="24"/>
  <c r="F43" i="24"/>
  <c r="C44" i="24"/>
  <c r="D44" i="24"/>
  <c r="E44" i="24"/>
  <c r="F44" i="24"/>
  <c r="C45" i="24"/>
  <c r="D45" i="24"/>
  <c r="E45" i="24"/>
  <c r="F45" i="24"/>
  <c r="C46" i="24"/>
  <c r="D46" i="24"/>
  <c r="E46" i="24"/>
  <c r="F46" i="24"/>
  <c r="C47" i="24"/>
  <c r="D47" i="24"/>
  <c r="E47" i="24"/>
  <c r="F47" i="24"/>
  <c r="C48" i="24"/>
  <c r="D48" i="24"/>
  <c r="E48" i="24"/>
  <c r="F48" i="24"/>
  <c r="C49" i="24"/>
  <c r="D49" i="24"/>
  <c r="E49" i="24"/>
  <c r="F49" i="24"/>
  <c r="C8" i="24"/>
  <c r="D8" i="24"/>
  <c r="E8" i="24"/>
  <c r="F8" i="24"/>
  <c r="C9" i="24"/>
  <c r="D9" i="24"/>
  <c r="E9" i="24"/>
  <c r="F9" i="24"/>
  <c r="C10" i="24"/>
  <c r="D10" i="24"/>
  <c r="E10" i="24"/>
  <c r="F10" i="24"/>
  <c r="C11" i="24"/>
  <c r="D11" i="24"/>
  <c r="E11" i="24"/>
  <c r="F11" i="24"/>
  <c r="C12" i="24"/>
  <c r="D12" i="24"/>
  <c r="E12" i="24"/>
  <c r="F12" i="24"/>
  <c r="C13" i="24"/>
  <c r="D13" i="24"/>
  <c r="E13" i="24"/>
  <c r="F13" i="24"/>
  <c r="C14" i="24"/>
  <c r="D14" i="24"/>
  <c r="E14" i="24"/>
  <c r="F14" i="24"/>
  <c r="C15" i="24"/>
  <c r="D15" i="24"/>
  <c r="E15" i="24"/>
  <c r="F15" i="24"/>
  <c r="C16" i="24"/>
  <c r="D16" i="24"/>
  <c r="E16" i="24"/>
  <c r="F16" i="24"/>
  <c r="C17" i="24"/>
  <c r="D17" i="24"/>
  <c r="E17" i="24"/>
  <c r="F17" i="24"/>
  <c r="E7" i="24"/>
  <c r="D7" i="24"/>
  <c r="F7" i="24"/>
  <c r="C7" i="24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D206" i="2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E6" i="5"/>
  <c r="E10" i="5"/>
  <c r="E7" i="5"/>
  <c r="E8" i="5"/>
  <c r="E9" i="5"/>
  <c r="E5" i="5"/>
  <c r="E6" i="11"/>
  <c r="E10" i="11"/>
  <c r="E14" i="11"/>
  <c r="E18" i="11"/>
  <c r="E22" i="11"/>
  <c r="E26" i="11"/>
  <c r="E7" i="11"/>
  <c r="E11" i="11"/>
  <c r="E15" i="11"/>
  <c r="E19" i="11"/>
  <c r="E23" i="11"/>
  <c r="E27" i="11"/>
  <c r="E13" i="11"/>
  <c r="E17" i="11"/>
  <c r="E25" i="11"/>
  <c r="E8" i="11"/>
  <c r="E12" i="11"/>
  <c r="E16" i="11"/>
  <c r="E20" i="11"/>
  <c r="E24" i="11"/>
  <c r="E9" i="11"/>
  <c r="E21" i="11"/>
  <c r="E5" i="11"/>
  <c r="L91" i="12"/>
  <c r="L5" i="12"/>
  <c r="L9" i="12"/>
  <c r="L13" i="12"/>
  <c r="L17" i="12"/>
  <c r="L21" i="12"/>
  <c r="L25" i="12"/>
  <c r="L29" i="12"/>
  <c r="L33" i="12"/>
  <c r="L37" i="12"/>
  <c r="L41" i="12"/>
  <c r="L45" i="12"/>
  <c r="L49" i="12"/>
  <c r="L53" i="12"/>
  <c r="L57" i="12"/>
  <c r="L61" i="12"/>
  <c r="L65" i="12"/>
  <c r="L69" i="12"/>
  <c r="L73" i="12"/>
  <c r="L77" i="12"/>
  <c r="L81" i="12"/>
  <c r="L85" i="12"/>
  <c r="L89" i="12"/>
  <c r="L12" i="12"/>
  <c r="L28" i="12"/>
  <c r="L40" i="12"/>
  <c r="L52" i="12"/>
  <c r="L64" i="12"/>
  <c r="L76" i="12"/>
  <c r="L88" i="12"/>
  <c r="L6" i="12"/>
  <c r="L10" i="12"/>
  <c r="L14" i="12"/>
  <c r="L18" i="12"/>
  <c r="L22" i="12"/>
  <c r="L26" i="12"/>
  <c r="L30" i="12"/>
  <c r="L34" i="12"/>
  <c r="L38" i="12"/>
  <c r="L42" i="12"/>
  <c r="L46" i="12"/>
  <c r="L50" i="12"/>
  <c r="L54" i="12"/>
  <c r="L58" i="12"/>
  <c r="L62" i="12"/>
  <c r="L66" i="12"/>
  <c r="L70" i="12"/>
  <c r="L74" i="12"/>
  <c r="L78" i="12"/>
  <c r="L82" i="12"/>
  <c r="L86" i="12"/>
  <c r="L90" i="12"/>
  <c r="L16" i="12"/>
  <c r="L24" i="12"/>
  <c r="L36" i="12"/>
  <c r="L44" i="12"/>
  <c r="L60" i="12"/>
  <c r="L72" i="12"/>
  <c r="L84" i="12"/>
  <c r="L7" i="12"/>
  <c r="L11" i="12"/>
  <c r="L15" i="12"/>
  <c r="L19" i="12"/>
  <c r="L23" i="12"/>
  <c r="L27" i="12"/>
  <c r="L31" i="12"/>
  <c r="L35" i="12"/>
  <c r="L39" i="12"/>
  <c r="L43" i="12"/>
  <c r="L47" i="12"/>
  <c r="L51" i="12"/>
  <c r="L55" i="12"/>
  <c r="L59" i="12"/>
  <c r="L63" i="12"/>
  <c r="L67" i="12"/>
  <c r="L71" i="12"/>
  <c r="L75" i="12"/>
  <c r="L79" i="12"/>
  <c r="L83" i="12"/>
  <c r="L87" i="12"/>
  <c r="L8" i="12"/>
  <c r="L20" i="12"/>
  <c r="L32" i="12"/>
  <c r="L48" i="12"/>
  <c r="L56" i="12"/>
  <c r="L68" i="12"/>
  <c r="L80" i="12"/>
  <c r="L4" i="12"/>
  <c r="G7" i="24"/>
  <c r="G50" i="24"/>
  <c r="G52" i="24"/>
  <c r="G54" i="24"/>
  <c r="G56" i="24"/>
  <c r="G58" i="24"/>
  <c r="G60" i="24"/>
  <c r="G62" i="24"/>
  <c r="G64" i="24"/>
  <c r="G66" i="24"/>
  <c r="G68" i="24"/>
  <c r="G70" i="24"/>
  <c r="G72" i="24"/>
  <c r="G74" i="24"/>
  <c r="G76" i="24"/>
  <c r="G78" i="24"/>
  <c r="G80" i="24"/>
  <c r="G82" i="24"/>
  <c r="G84" i="24"/>
  <c r="G86" i="24"/>
  <c r="G88" i="24"/>
  <c r="G90" i="24"/>
  <c r="G92" i="24"/>
  <c r="G94" i="24"/>
  <c r="G96" i="24"/>
  <c r="G98" i="24"/>
  <c r="G100" i="24"/>
  <c r="G102" i="24"/>
  <c r="G104" i="24"/>
  <c r="G106" i="24"/>
  <c r="G93" i="24"/>
  <c r="G51" i="24"/>
  <c r="G53" i="24"/>
  <c r="G55" i="24"/>
  <c r="G57" i="24"/>
  <c r="G59" i="24"/>
  <c r="G61" i="24"/>
  <c r="G63" i="24"/>
  <c r="G65" i="24"/>
  <c r="G67" i="24"/>
  <c r="G69" i="24"/>
  <c r="G71" i="24"/>
  <c r="G73" i="24"/>
  <c r="G75" i="24"/>
  <c r="G77" i="24"/>
  <c r="G79" i="24"/>
  <c r="G81" i="24"/>
  <c r="G83" i="24"/>
  <c r="G85" i="24"/>
  <c r="G87" i="24"/>
  <c r="G89" i="24"/>
  <c r="G91" i="24"/>
  <c r="G95" i="24"/>
  <c r="G99" i="24"/>
  <c r="G101" i="24"/>
  <c r="G103" i="24"/>
  <c r="G97" i="24"/>
  <c r="G105" i="24"/>
  <c r="G18" i="24"/>
  <c r="G20" i="24"/>
  <c r="G22" i="24"/>
  <c r="G24" i="24"/>
  <c r="G26" i="24"/>
  <c r="G28" i="24"/>
  <c r="G30" i="24"/>
  <c r="G32" i="24"/>
  <c r="G34" i="24"/>
  <c r="G36" i="24"/>
  <c r="G38" i="24"/>
  <c r="G40" i="24"/>
  <c r="G42" i="24"/>
  <c r="G44" i="24"/>
  <c r="G46" i="24"/>
  <c r="G48" i="24"/>
  <c r="G19" i="24"/>
  <c r="G21" i="24"/>
  <c r="G23" i="24"/>
  <c r="G25" i="24"/>
  <c r="G27" i="24"/>
  <c r="G29" i="24"/>
  <c r="G31" i="24"/>
  <c r="G33" i="24"/>
  <c r="G35" i="24"/>
  <c r="G37" i="24"/>
  <c r="G39" i="24"/>
  <c r="G41" i="24"/>
  <c r="G43" i="24"/>
  <c r="G45" i="24"/>
  <c r="G47" i="24"/>
  <c r="G49" i="24"/>
  <c r="G12" i="24"/>
  <c r="G16" i="24"/>
  <c r="G13" i="24"/>
  <c r="G17" i="24"/>
  <c r="G14" i="24"/>
  <c r="G15" i="24"/>
  <c r="G8" i="24"/>
  <c r="G9" i="24"/>
  <c r="G11" i="24"/>
  <c r="G10" i="24"/>
  <c r="F7" i="23"/>
  <c r="C16" i="23"/>
  <c r="F18" i="23"/>
  <c r="C20" i="23"/>
  <c r="F22" i="23"/>
  <c r="C24" i="23"/>
  <c r="F26" i="23"/>
  <c r="C28" i="23"/>
  <c r="F30" i="23"/>
  <c r="C32" i="23"/>
  <c r="F34" i="23"/>
  <c r="C36" i="23"/>
  <c r="F38" i="23"/>
  <c r="C40" i="23"/>
  <c r="F42" i="23"/>
  <c r="C44" i="23"/>
  <c r="F46" i="23"/>
  <c r="C48" i="23"/>
  <c r="F50" i="23"/>
  <c r="C52" i="23"/>
  <c r="F54" i="23"/>
  <c r="C56" i="23"/>
  <c r="C25" i="23"/>
  <c r="C29" i="23"/>
  <c r="C33" i="23"/>
  <c r="F39" i="23"/>
  <c r="F43" i="23"/>
  <c r="C53" i="23"/>
  <c r="F17" i="23"/>
  <c r="C19" i="23"/>
  <c r="F21" i="23"/>
  <c r="C23" i="23"/>
  <c r="F25" i="23"/>
  <c r="C27" i="23"/>
  <c r="F29" i="23"/>
  <c r="C31" i="23"/>
  <c r="F33" i="23"/>
  <c r="C35" i="23"/>
  <c r="F37" i="23"/>
  <c r="C39" i="23"/>
  <c r="F41" i="23"/>
  <c r="C43" i="23"/>
  <c r="F45" i="23"/>
  <c r="C47" i="23"/>
  <c r="F49" i="23"/>
  <c r="C51" i="23"/>
  <c r="F53" i="23"/>
  <c r="C55" i="23"/>
  <c r="C17" i="23"/>
  <c r="F23" i="23"/>
  <c r="F31" i="23"/>
  <c r="F35" i="23"/>
  <c r="C45" i="23"/>
  <c r="F47" i="23"/>
  <c r="F55" i="23"/>
  <c r="F16" i="23"/>
  <c r="C18" i="23"/>
  <c r="F20" i="23"/>
  <c r="C22" i="23"/>
  <c r="F24" i="23"/>
  <c r="C26" i="23"/>
  <c r="F28" i="23"/>
  <c r="C30" i="23"/>
  <c r="F32" i="23"/>
  <c r="C34" i="23"/>
  <c r="F36" i="23"/>
  <c r="C38" i="23"/>
  <c r="F40" i="23"/>
  <c r="C42" i="23"/>
  <c r="F44" i="23"/>
  <c r="C46" i="23"/>
  <c r="F48" i="23"/>
  <c r="C50" i="23"/>
  <c r="F52" i="23"/>
  <c r="C54" i="23"/>
  <c r="F56" i="23"/>
  <c r="F19" i="23"/>
  <c r="C21" i="23"/>
  <c r="F27" i="23"/>
  <c r="C37" i="23"/>
  <c r="C41" i="23"/>
  <c r="C49" i="23"/>
  <c r="F51" i="23"/>
  <c r="C7" i="23"/>
  <c r="F14" i="23"/>
  <c r="C13" i="23"/>
  <c r="F10" i="23"/>
  <c r="C9" i="23"/>
  <c r="F15" i="23"/>
  <c r="C14" i="23"/>
  <c r="F11" i="23"/>
  <c r="C10" i="23"/>
  <c r="C15" i="23"/>
  <c r="F12" i="23"/>
  <c r="C11" i="23"/>
  <c r="F8" i="23"/>
  <c r="F13" i="23"/>
  <c r="C12" i="23"/>
  <c r="F9" i="23"/>
  <c r="C8" i="23"/>
  <c r="C108" i="22"/>
  <c r="F110" i="22"/>
  <c r="C112" i="22"/>
  <c r="F114" i="22"/>
  <c r="C116" i="22"/>
  <c r="F118" i="22"/>
  <c r="C120" i="22"/>
  <c r="F122" i="22"/>
  <c r="C124" i="22"/>
  <c r="F126" i="22"/>
  <c r="C128" i="22"/>
  <c r="F130" i="22"/>
  <c r="C132" i="22"/>
  <c r="F134" i="22"/>
  <c r="C136" i="22"/>
  <c r="F138" i="22"/>
  <c r="C140" i="22"/>
  <c r="F142" i="22"/>
  <c r="C144" i="22"/>
  <c r="F146" i="22"/>
  <c r="C148" i="22"/>
  <c r="F150" i="22"/>
  <c r="C152" i="22"/>
  <c r="F154" i="22"/>
  <c r="C156" i="22"/>
  <c r="F158" i="22"/>
  <c r="C160" i="22"/>
  <c r="F162" i="22"/>
  <c r="C164" i="22"/>
  <c r="F166" i="22"/>
  <c r="C168" i="22"/>
  <c r="F170" i="22"/>
  <c r="C172" i="22"/>
  <c r="F174" i="22"/>
  <c r="C176" i="22"/>
  <c r="F178" i="22"/>
  <c r="C180" i="22"/>
  <c r="F182" i="22"/>
  <c r="C184" i="22"/>
  <c r="F186" i="22"/>
  <c r="C188" i="22"/>
  <c r="F190" i="22"/>
  <c r="C192" i="22"/>
  <c r="F194" i="22"/>
  <c r="C196" i="22"/>
  <c r="F198" i="22"/>
  <c r="C200" i="22"/>
  <c r="F202" i="22"/>
  <c r="C204" i="22"/>
  <c r="F109" i="22"/>
  <c r="C111" i="22"/>
  <c r="F113" i="22"/>
  <c r="C115" i="22"/>
  <c r="F117" i="22"/>
  <c r="C119" i="22"/>
  <c r="F121" i="22"/>
  <c r="C123" i="22"/>
  <c r="F125" i="22"/>
  <c r="C127" i="22"/>
  <c r="F129" i="22"/>
  <c r="C131" i="22"/>
  <c r="F133" i="22"/>
  <c r="C135" i="22"/>
  <c r="F137" i="22"/>
  <c r="C139" i="22"/>
  <c r="F141" i="22"/>
  <c r="C143" i="22"/>
  <c r="F145" i="22"/>
  <c r="C147" i="22"/>
  <c r="F149" i="22"/>
  <c r="C151" i="22"/>
  <c r="F153" i="22"/>
  <c r="C155" i="22"/>
  <c r="F157" i="22"/>
  <c r="C159" i="22"/>
  <c r="F161" i="22"/>
  <c r="C163" i="22"/>
  <c r="F165" i="22"/>
  <c r="C167" i="22"/>
  <c r="F169" i="22"/>
  <c r="C171" i="22"/>
  <c r="F173" i="22"/>
  <c r="C175" i="22"/>
  <c r="F177" i="22"/>
  <c r="C179" i="22"/>
  <c r="F181" i="22"/>
  <c r="C183" i="22"/>
  <c r="F185" i="22"/>
  <c r="C187" i="22"/>
  <c r="F189" i="22"/>
  <c r="C191" i="22"/>
  <c r="F193" i="22"/>
  <c r="C195" i="22"/>
  <c r="F197" i="22"/>
  <c r="C199" i="22"/>
  <c r="F201" i="22"/>
  <c r="C203" i="22"/>
  <c r="F205" i="22"/>
  <c r="F108" i="22"/>
  <c r="C110" i="22"/>
  <c r="F112" i="22"/>
  <c r="C114" i="22"/>
  <c r="F116" i="22"/>
  <c r="C118" i="22"/>
  <c r="F120" i="22"/>
  <c r="C122" i="22"/>
  <c r="F124" i="22"/>
  <c r="C126" i="22"/>
  <c r="F128" i="22"/>
  <c r="F131" i="22"/>
  <c r="F135" i="22"/>
  <c r="F139" i="22"/>
  <c r="F143" i="22"/>
  <c r="F147" i="22"/>
  <c r="F151" i="22"/>
  <c r="F155" i="22"/>
  <c r="F159" i="22"/>
  <c r="F163" i="22"/>
  <c r="F167" i="22"/>
  <c r="F171" i="22"/>
  <c r="F175" i="22"/>
  <c r="F179" i="22"/>
  <c r="F183" i="22"/>
  <c r="F187" i="22"/>
  <c r="F191" i="22"/>
  <c r="F195" i="22"/>
  <c r="F199" i="22"/>
  <c r="F203" i="22"/>
  <c r="F176" i="22"/>
  <c r="C133" i="22"/>
  <c r="C137" i="22"/>
  <c r="C149" i="22"/>
  <c r="C153" i="22"/>
  <c r="C165" i="22"/>
  <c r="C169" i="22"/>
  <c r="C177" i="22"/>
  <c r="C185" i="22"/>
  <c r="C189" i="22"/>
  <c r="C197" i="22"/>
  <c r="C109" i="22"/>
  <c r="F111" i="22"/>
  <c r="C117" i="22"/>
  <c r="F119" i="22"/>
  <c r="C125" i="22"/>
  <c r="F127" i="22"/>
  <c r="C130" i="22"/>
  <c r="C134" i="22"/>
  <c r="C138" i="22"/>
  <c r="C142" i="22"/>
  <c r="C146" i="22"/>
  <c r="C150" i="22"/>
  <c r="C154" i="22"/>
  <c r="C158" i="22"/>
  <c r="C162" i="22"/>
  <c r="C166" i="22"/>
  <c r="C170" i="22"/>
  <c r="C174" i="22"/>
  <c r="C178" i="22"/>
  <c r="C182" i="22"/>
  <c r="C186" i="22"/>
  <c r="C190" i="22"/>
  <c r="C194" i="22"/>
  <c r="C198" i="22"/>
  <c r="C202" i="22"/>
  <c r="F132" i="22"/>
  <c r="F140" i="22"/>
  <c r="F152" i="22"/>
  <c r="F156" i="22"/>
  <c r="F160" i="22"/>
  <c r="F164" i="22"/>
  <c r="F168" i="22"/>
  <c r="F172" i="22"/>
  <c r="F188" i="22"/>
  <c r="F192" i="22"/>
  <c r="F196" i="22"/>
  <c r="F200" i="22"/>
  <c r="F204" i="22"/>
  <c r="C113" i="22"/>
  <c r="F115" i="22"/>
  <c r="C121" i="22"/>
  <c r="F123" i="22"/>
  <c r="C129" i="22"/>
  <c r="C141" i="22"/>
  <c r="C145" i="22"/>
  <c r="C157" i="22"/>
  <c r="C161" i="22"/>
  <c r="C173" i="22"/>
  <c r="C181" i="22"/>
  <c r="C193" i="22"/>
  <c r="C201" i="22"/>
  <c r="C205" i="22"/>
  <c r="F136" i="22"/>
  <c r="F144" i="22"/>
  <c r="F148" i="22"/>
  <c r="F180" i="22"/>
  <c r="F184" i="22"/>
  <c r="C106" i="22"/>
  <c r="F107" i="22"/>
  <c r="F106" i="22"/>
  <c r="C107" i="22"/>
  <c r="F7" i="22"/>
  <c r="F11" i="22"/>
  <c r="F15" i="22"/>
  <c r="F19" i="22"/>
  <c r="F23" i="22"/>
  <c r="F27" i="22"/>
  <c r="F31" i="22"/>
  <c r="F35" i="22"/>
  <c r="F39" i="22"/>
  <c r="F43" i="22"/>
  <c r="F47" i="22"/>
  <c r="F51" i="22"/>
  <c r="F55" i="22"/>
  <c r="F59" i="22"/>
  <c r="F63" i="22"/>
  <c r="F67" i="22"/>
  <c r="F71" i="22"/>
  <c r="F75" i="22"/>
  <c r="F79" i="22"/>
  <c r="F83" i="22"/>
  <c r="F87" i="22"/>
  <c r="F95" i="22"/>
  <c r="F103" i="22"/>
  <c r="F20" i="22"/>
  <c r="F36" i="22"/>
  <c r="F44" i="22"/>
  <c r="F56" i="22"/>
  <c r="F68" i="22"/>
  <c r="F76" i="22"/>
  <c r="F88" i="22"/>
  <c r="F100" i="22"/>
  <c r="F8" i="22"/>
  <c r="F12" i="22"/>
  <c r="F24" i="22"/>
  <c r="F32" i="22"/>
  <c r="F48" i="22"/>
  <c r="F64" i="22"/>
  <c r="F80" i="22"/>
  <c r="F92" i="22"/>
  <c r="F104" i="22"/>
  <c r="F9" i="22"/>
  <c r="F13" i="22"/>
  <c r="F17" i="22"/>
  <c r="F21" i="22"/>
  <c r="F25" i="22"/>
  <c r="F29" i="22"/>
  <c r="F33" i="22"/>
  <c r="F37" i="22"/>
  <c r="F41" i="22"/>
  <c r="F45" i="22"/>
  <c r="F49" i="22"/>
  <c r="F53" i="22"/>
  <c r="F57" i="22"/>
  <c r="F61" i="22"/>
  <c r="F65" i="22"/>
  <c r="F69" i="22"/>
  <c r="F73" i="22"/>
  <c r="F77" i="22"/>
  <c r="F81" i="22"/>
  <c r="F85" i="22"/>
  <c r="F89" i="22"/>
  <c r="F93" i="22"/>
  <c r="F97" i="22"/>
  <c r="F101" i="22"/>
  <c r="F105" i="22"/>
  <c r="F10" i="22"/>
  <c r="F14" i="22"/>
  <c r="F18" i="22"/>
  <c r="F22" i="22"/>
  <c r="F26" i="22"/>
  <c r="F30" i="22"/>
  <c r="F34" i="22"/>
  <c r="F38" i="22"/>
  <c r="F42" i="22"/>
  <c r="F46" i="22"/>
  <c r="F50" i="22"/>
  <c r="F54" i="22"/>
  <c r="F58" i="22"/>
  <c r="F62" i="22"/>
  <c r="F66" i="22"/>
  <c r="F70" i="22"/>
  <c r="F74" i="22"/>
  <c r="F78" i="22"/>
  <c r="F82" i="22"/>
  <c r="F86" i="22"/>
  <c r="F90" i="22"/>
  <c r="F94" i="22"/>
  <c r="F98" i="22"/>
  <c r="F102" i="22"/>
  <c r="F91" i="22"/>
  <c r="F99" i="22"/>
  <c r="F16" i="22"/>
  <c r="F28" i="22"/>
  <c r="F40" i="22"/>
  <c r="F52" i="22"/>
  <c r="F60" i="22"/>
  <c r="F72" i="22"/>
  <c r="F84" i="22"/>
  <c r="F96" i="22"/>
  <c r="F6" i="22"/>
  <c r="C61" i="22"/>
  <c r="C65" i="22"/>
  <c r="C69" i="22"/>
  <c r="C73" i="22"/>
  <c r="C77" i="22"/>
  <c r="C81" i="22"/>
  <c r="C85" i="22"/>
  <c r="C89" i="22"/>
  <c r="C93" i="22"/>
  <c r="C97" i="22"/>
  <c r="C101" i="22"/>
  <c r="C105" i="22"/>
  <c r="C62" i="22"/>
  <c r="C66" i="22"/>
  <c r="C70" i="22"/>
  <c r="C74" i="22"/>
  <c r="C78" i="22"/>
  <c r="C82" i="22"/>
  <c r="C86" i="22"/>
  <c r="C90" i="22"/>
  <c r="C94" i="22"/>
  <c r="C98" i="22"/>
  <c r="C102" i="22"/>
  <c r="C63" i="22"/>
  <c r="C67" i="22"/>
  <c r="C71" i="22"/>
  <c r="C75" i="22"/>
  <c r="C79" i="22"/>
  <c r="C83" i="22"/>
  <c r="C87" i="22"/>
  <c r="C91" i="22"/>
  <c r="C95" i="22"/>
  <c r="C99" i="22"/>
  <c r="C103" i="22"/>
  <c r="C64" i="22"/>
  <c r="C68" i="22"/>
  <c r="C72" i="22"/>
  <c r="C76" i="22"/>
  <c r="C80" i="22"/>
  <c r="C84" i="22"/>
  <c r="C88" i="22"/>
  <c r="C92" i="22"/>
  <c r="C96" i="22"/>
  <c r="C100" i="22"/>
  <c r="C104" i="22"/>
  <c r="C31" i="22"/>
  <c r="C35" i="22"/>
  <c r="C39" i="22"/>
  <c r="C43" i="22"/>
  <c r="C47" i="22"/>
  <c r="C51" i="22"/>
  <c r="C55" i="22"/>
  <c r="C59" i="22"/>
  <c r="C33" i="22"/>
  <c r="C41" i="22"/>
  <c r="C53" i="22"/>
  <c r="C34" i="22"/>
  <c r="C42" i="22"/>
  <c r="C50" i="22"/>
  <c r="C58" i="22"/>
  <c r="C32" i="22"/>
  <c r="C36" i="22"/>
  <c r="C40" i="22"/>
  <c r="C44" i="22"/>
  <c r="C48" i="22"/>
  <c r="C52" i="22"/>
  <c r="C56" i="22"/>
  <c r="C60" i="22"/>
  <c r="C37" i="22"/>
  <c r="C45" i="22"/>
  <c r="C49" i="22"/>
  <c r="C57" i="22"/>
  <c r="C38" i="22"/>
  <c r="C46" i="22"/>
  <c r="C54" i="22"/>
  <c r="C7" i="22"/>
  <c r="C11" i="22"/>
  <c r="C15" i="22"/>
  <c r="C19" i="22"/>
  <c r="C23" i="22"/>
  <c r="C27" i="22"/>
  <c r="C10" i="22"/>
  <c r="C22" i="22"/>
  <c r="C8" i="22"/>
  <c r="C12" i="22"/>
  <c r="C16" i="22"/>
  <c r="C20" i="22"/>
  <c r="C24" i="22"/>
  <c r="C28" i="22"/>
  <c r="C18" i="22"/>
  <c r="C30" i="22"/>
  <c r="C9" i="22"/>
  <c r="C13" i="22"/>
  <c r="C17" i="22"/>
  <c r="C21" i="22"/>
  <c r="C25" i="22"/>
  <c r="C29" i="22"/>
  <c r="C14" i="22"/>
  <c r="C26" i="22"/>
  <c r="C6" i="22"/>
  <c r="J17" i="24" l="1"/>
  <c r="J16" i="24"/>
  <c r="J14" i="24"/>
  <c r="J13" i="24"/>
  <c r="J12" i="24"/>
  <c r="J10" i="24"/>
  <c r="J9" i="24"/>
  <c r="J8" i="24"/>
  <c r="J49" i="24"/>
  <c r="J48" i="24"/>
  <c r="J46" i="24"/>
  <c r="J45" i="24"/>
  <c r="J44" i="24"/>
  <c r="J42" i="24"/>
  <c r="J41" i="24"/>
  <c r="J40" i="24"/>
  <c r="J38" i="24"/>
  <c r="J37" i="24"/>
  <c r="J36" i="24"/>
  <c r="J34" i="24"/>
  <c r="J33" i="24"/>
  <c r="J32" i="24"/>
  <c r="J30" i="24"/>
  <c r="J29" i="24"/>
  <c r="J28" i="24"/>
  <c r="J26" i="24"/>
  <c r="J25" i="24"/>
  <c r="J24" i="24"/>
  <c r="J22" i="24"/>
  <c r="J21" i="24"/>
  <c r="J20" i="24"/>
  <c r="J18" i="24"/>
  <c r="J106" i="24"/>
  <c r="J105" i="24"/>
  <c r="J104" i="24"/>
  <c r="J102" i="24"/>
  <c r="J101" i="24"/>
  <c r="J100" i="24"/>
  <c r="J98" i="24"/>
  <c r="J97" i="24"/>
  <c r="J96" i="24"/>
  <c r="J94" i="24"/>
  <c r="J93" i="24"/>
  <c r="J92" i="24"/>
  <c r="J90" i="24"/>
  <c r="J89" i="24"/>
  <c r="J88" i="24"/>
  <c r="J86" i="24"/>
  <c r="J85" i="24"/>
  <c r="J84" i="24"/>
  <c r="J82" i="24"/>
  <c r="J81" i="24"/>
  <c r="J80" i="24"/>
  <c r="J78" i="24"/>
  <c r="J77" i="24"/>
  <c r="J76" i="24"/>
  <c r="J74" i="24"/>
  <c r="J73" i="24"/>
  <c r="J72" i="24"/>
  <c r="J70" i="24"/>
  <c r="J69" i="24"/>
  <c r="J68" i="24"/>
  <c r="J66" i="24"/>
  <c r="J65" i="24"/>
  <c r="J64" i="24"/>
  <c r="J62" i="24"/>
  <c r="J61" i="24"/>
  <c r="J60" i="24"/>
  <c r="J58" i="24"/>
  <c r="J57" i="24"/>
  <c r="J56" i="24"/>
  <c r="J54" i="24"/>
  <c r="J53" i="24"/>
  <c r="J52" i="24"/>
  <c r="J50" i="24"/>
  <c r="J15" i="24"/>
  <c r="J11" i="24"/>
  <c r="J47" i="24"/>
  <c r="J43" i="24"/>
  <c r="J39" i="24"/>
  <c r="J35" i="24"/>
  <c r="J31" i="24"/>
  <c r="J27" i="24"/>
  <c r="J23" i="24"/>
  <c r="J19" i="24"/>
  <c r="J103" i="24"/>
  <c r="J99" i="24"/>
  <c r="J95" i="24"/>
  <c r="J91" i="24"/>
  <c r="J87" i="24"/>
  <c r="J83" i="24"/>
  <c r="J79" i="24"/>
  <c r="J75" i="24"/>
  <c r="J71" i="24"/>
  <c r="J67" i="24"/>
  <c r="J63" i="24"/>
  <c r="J59" i="24"/>
  <c r="J55" i="24"/>
  <c r="J51" i="24"/>
  <c r="J7" i="24"/>
  <c r="H7" i="23"/>
  <c r="H26" i="22"/>
  <c r="H14" i="22"/>
  <c r="H29" i="22"/>
  <c r="H25" i="22"/>
  <c r="H21" i="22"/>
  <c r="H17" i="22"/>
  <c r="H13" i="22"/>
  <c r="H9" i="22"/>
  <c r="H30" i="22"/>
  <c r="H18" i="22"/>
  <c r="H28" i="22"/>
  <c r="H24" i="22"/>
  <c r="H20" i="22"/>
  <c r="H16" i="22"/>
  <c r="H12" i="22"/>
  <c r="H8" i="22"/>
  <c r="H22" i="22"/>
  <c r="H10" i="22"/>
  <c r="H27" i="22"/>
  <c r="H23" i="22"/>
  <c r="H19" i="22"/>
  <c r="H15" i="22"/>
  <c r="H11" i="22"/>
  <c r="H7" i="22"/>
  <c r="H54" i="22"/>
  <c r="H46" i="22"/>
  <c r="H38" i="22"/>
  <c r="H57" i="22"/>
  <c r="H49" i="22"/>
  <c r="H45" i="22"/>
  <c r="H37" i="22"/>
  <c r="H60" i="22"/>
  <c r="H56" i="22"/>
  <c r="H52" i="22"/>
  <c r="H48" i="22"/>
  <c r="H44" i="22"/>
  <c r="H40" i="22"/>
  <c r="H36" i="22"/>
  <c r="H32" i="22"/>
  <c r="H58" i="22"/>
  <c r="H50" i="22"/>
  <c r="H42" i="22"/>
  <c r="H34" i="22"/>
  <c r="H53" i="22"/>
  <c r="H41" i="22"/>
  <c r="H33" i="22"/>
  <c r="H59" i="22"/>
  <c r="H55" i="22"/>
  <c r="H51" i="22"/>
  <c r="H47" i="22"/>
  <c r="H43" i="22"/>
  <c r="H39" i="22"/>
  <c r="H35" i="22"/>
  <c r="H31" i="22"/>
  <c r="H104" i="22"/>
  <c r="H100" i="22"/>
  <c r="H96" i="22"/>
  <c r="H92" i="22"/>
  <c r="H88" i="22"/>
  <c r="H84" i="22"/>
  <c r="H80" i="22"/>
  <c r="H76" i="22"/>
  <c r="H72" i="22"/>
  <c r="H68" i="22"/>
  <c r="H64" i="22"/>
  <c r="H103" i="22"/>
  <c r="H99" i="22"/>
  <c r="H95" i="22"/>
  <c r="H91" i="22"/>
  <c r="H87" i="22"/>
  <c r="H83" i="22"/>
  <c r="H79" i="22"/>
  <c r="H75" i="22"/>
  <c r="H71" i="22"/>
  <c r="H67" i="22"/>
  <c r="H63" i="22"/>
  <c r="H102" i="22"/>
  <c r="H98" i="22"/>
  <c r="H94" i="22"/>
  <c r="H90" i="22"/>
  <c r="H86" i="22"/>
  <c r="H82" i="22"/>
  <c r="H78" i="22"/>
  <c r="H74" i="22"/>
  <c r="H70" i="22"/>
  <c r="H66" i="22"/>
  <c r="H62" i="22"/>
  <c r="H105" i="22"/>
  <c r="H101" i="22"/>
  <c r="H97" i="22"/>
  <c r="H93" i="22"/>
  <c r="H89" i="22"/>
  <c r="H85" i="22"/>
  <c r="H81" i="22"/>
  <c r="H77" i="22"/>
  <c r="H73" i="22"/>
  <c r="H69" i="22"/>
  <c r="H65" i="22"/>
  <c r="H61" i="22"/>
  <c r="H107" i="22"/>
  <c r="H106" i="22"/>
  <c r="H205" i="22"/>
  <c r="H201" i="22"/>
  <c r="H193" i="22"/>
  <c r="H181" i="22"/>
  <c r="H173" i="22"/>
  <c r="H161" i="22"/>
  <c r="H157" i="22"/>
  <c r="H145" i="22"/>
  <c r="H141" i="22"/>
  <c r="H129" i="22"/>
  <c r="H121" i="22"/>
  <c r="H113" i="22"/>
  <c r="H202" i="22"/>
  <c r="H198" i="22"/>
  <c r="H194" i="22"/>
  <c r="H190" i="22"/>
  <c r="H186" i="22"/>
  <c r="H182" i="22"/>
  <c r="H178" i="22"/>
  <c r="H174" i="22"/>
  <c r="H170" i="22"/>
  <c r="H166" i="22"/>
  <c r="H162" i="22"/>
  <c r="H158" i="22"/>
  <c r="H154" i="22"/>
  <c r="H150" i="22"/>
  <c r="H146" i="22"/>
  <c r="H142" i="22"/>
  <c r="H138" i="22"/>
  <c r="H134" i="22"/>
  <c r="H130" i="22"/>
  <c r="H125" i="22"/>
  <c r="H117" i="22"/>
  <c r="H109" i="22"/>
  <c r="H197" i="22"/>
  <c r="H189" i="22"/>
  <c r="H185" i="22"/>
  <c r="H177" i="22"/>
  <c r="H169" i="22"/>
  <c r="H165" i="22"/>
  <c r="H153" i="22"/>
  <c r="H149" i="22"/>
  <c r="H137" i="22"/>
  <c r="H133" i="22"/>
  <c r="H126" i="22"/>
  <c r="H122" i="22"/>
  <c r="H118" i="22"/>
  <c r="H114" i="22"/>
  <c r="H110" i="22"/>
  <c r="H203" i="22"/>
  <c r="H199" i="22"/>
  <c r="H195" i="22"/>
  <c r="H191" i="22"/>
  <c r="H187" i="22"/>
  <c r="H183" i="22"/>
  <c r="H179" i="22"/>
  <c r="H175" i="22"/>
  <c r="H171" i="22"/>
  <c r="H167" i="22"/>
  <c r="H163" i="22"/>
  <c r="H159" i="22"/>
  <c r="H155" i="22"/>
  <c r="H151" i="22"/>
  <c r="H147" i="22"/>
  <c r="H143" i="22"/>
  <c r="H139" i="22"/>
  <c r="H135" i="22"/>
  <c r="H131" i="22"/>
  <c r="H127" i="22"/>
  <c r="H123" i="22"/>
  <c r="H119" i="22"/>
  <c r="H115" i="22"/>
  <c r="H111" i="22"/>
  <c r="H204" i="22"/>
  <c r="H200" i="22"/>
  <c r="H196" i="22"/>
  <c r="H192" i="22"/>
  <c r="H188" i="22"/>
  <c r="H184" i="22"/>
  <c r="H180" i="22"/>
  <c r="H176" i="22"/>
  <c r="H172" i="22"/>
  <c r="H168" i="22"/>
  <c r="H164" i="22"/>
  <c r="H160" i="22"/>
  <c r="H156" i="22"/>
  <c r="H152" i="22"/>
  <c r="H148" i="22"/>
  <c r="H144" i="22"/>
  <c r="H140" i="22"/>
  <c r="H136" i="22"/>
  <c r="H132" i="22"/>
  <c r="H128" i="22"/>
  <c r="H124" i="22"/>
  <c r="H120" i="22"/>
  <c r="H116" i="22"/>
  <c r="H112" i="22"/>
  <c r="H108" i="22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5" i="10"/>
  <c r="G6" i="5"/>
  <c r="G7" i="5"/>
  <c r="G8" i="5"/>
  <c r="G9" i="5"/>
  <c r="G10" i="5"/>
  <c r="G5" i="5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4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E91" i="12"/>
  <c r="E90" i="12"/>
  <c r="O90" i="12" s="1"/>
  <c r="E89" i="12"/>
  <c r="E88" i="12"/>
  <c r="O88" i="12" s="1"/>
  <c r="E87" i="12"/>
  <c r="E86" i="12"/>
  <c r="O86" i="12" s="1"/>
  <c r="E85" i="12"/>
  <c r="E84" i="12"/>
  <c r="O84" i="12" s="1"/>
  <c r="E83" i="12"/>
  <c r="E82" i="12"/>
  <c r="O82" i="12" s="1"/>
  <c r="E81" i="12"/>
  <c r="E80" i="12"/>
  <c r="O80" i="12" s="1"/>
  <c r="E79" i="12"/>
  <c r="E78" i="12"/>
  <c r="O78" i="12" s="1"/>
  <c r="E77" i="12"/>
  <c r="E76" i="12"/>
  <c r="O76" i="12" s="1"/>
  <c r="E75" i="12"/>
  <c r="E74" i="12"/>
  <c r="O74" i="12" s="1"/>
  <c r="E73" i="12"/>
  <c r="E72" i="12"/>
  <c r="O72" i="12" s="1"/>
  <c r="E71" i="12"/>
  <c r="E70" i="12"/>
  <c r="O70" i="12" s="1"/>
  <c r="E69" i="12"/>
  <c r="E68" i="12"/>
  <c r="O68" i="12" s="1"/>
  <c r="E67" i="12"/>
  <c r="E66" i="12"/>
  <c r="O66" i="12" s="1"/>
  <c r="E65" i="12"/>
  <c r="E64" i="12"/>
  <c r="O64" i="12" s="1"/>
  <c r="E63" i="12"/>
  <c r="E62" i="12"/>
  <c r="O62" i="12" s="1"/>
  <c r="E61" i="12"/>
  <c r="E60" i="12"/>
  <c r="O60" i="12" s="1"/>
  <c r="E59" i="12"/>
  <c r="E58" i="12"/>
  <c r="O58" i="12" s="1"/>
  <c r="E57" i="12"/>
  <c r="E56" i="12"/>
  <c r="O56" i="12" s="1"/>
  <c r="E55" i="12"/>
  <c r="E54" i="12"/>
  <c r="O54" i="12" s="1"/>
  <c r="E53" i="12"/>
  <c r="E52" i="12"/>
  <c r="O52" i="12" s="1"/>
  <c r="E51" i="12"/>
  <c r="E50" i="12"/>
  <c r="O50" i="12" s="1"/>
  <c r="E49" i="12"/>
  <c r="E48" i="12"/>
  <c r="O48" i="12" s="1"/>
  <c r="E47" i="12"/>
  <c r="E46" i="12"/>
  <c r="O46" i="12" s="1"/>
  <c r="E45" i="12"/>
  <c r="E44" i="12"/>
  <c r="O44" i="12" s="1"/>
  <c r="E43" i="12"/>
  <c r="E42" i="12"/>
  <c r="O42" i="12" s="1"/>
  <c r="E41" i="12"/>
  <c r="E40" i="12"/>
  <c r="O40" i="12" s="1"/>
  <c r="E39" i="12"/>
  <c r="E38" i="12"/>
  <c r="O38" i="12" s="1"/>
  <c r="E37" i="12"/>
  <c r="E36" i="12"/>
  <c r="O36" i="12" s="1"/>
  <c r="E35" i="12"/>
  <c r="E34" i="12"/>
  <c r="O34" i="12" s="1"/>
  <c r="E33" i="12"/>
  <c r="E32" i="12"/>
  <c r="O32" i="12" s="1"/>
  <c r="E31" i="12"/>
  <c r="E30" i="12"/>
  <c r="O30" i="12" s="1"/>
  <c r="E29" i="12"/>
  <c r="E28" i="12"/>
  <c r="O28" i="12" s="1"/>
  <c r="E27" i="12"/>
  <c r="E26" i="12"/>
  <c r="O26" i="12" s="1"/>
  <c r="E25" i="12"/>
  <c r="E24" i="12"/>
  <c r="O24" i="12" s="1"/>
  <c r="E23" i="12"/>
  <c r="E22" i="12"/>
  <c r="O22" i="12" s="1"/>
  <c r="E21" i="12"/>
  <c r="E20" i="12"/>
  <c r="O20" i="12" s="1"/>
  <c r="E19" i="12"/>
  <c r="E18" i="12"/>
  <c r="O18" i="12" s="1"/>
  <c r="E17" i="12"/>
  <c r="E16" i="12"/>
  <c r="O16" i="12" s="1"/>
  <c r="E15" i="12"/>
  <c r="E14" i="12"/>
  <c r="O14" i="12" s="1"/>
  <c r="E13" i="12"/>
  <c r="E12" i="12"/>
  <c r="O12" i="12" s="1"/>
  <c r="E11" i="12"/>
  <c r="E10" i="12"/>
  <c r="O10" i="12" s="1"/>
  <c r="E9" i="12"/>
  <c r="E8" i="12"/>
  <c r="O8" i="12" s="1"/>
  <c r="E7" i="12"/>
  <c r="E6" i="12"/>
  <c r="O6" i="12" s="1"/>
  <c r="E5" i="12"/>
  <c r="E4" i="12"/>
  <c r="O4" i="12" s="1"/>
  <c r="F8" i="21"/>
  <c r="F9" i="21"/>
  <c r="F10" i="21"/>
  <c r="F11" i="21"/>
  <c r="F12" i="21"/>
  <c r="F7" i="2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5" i="3"/>
  <c r="F6" i="6"/>
  <c r="F7" i="6"/>
  <c r="F8" i="6"/>
  <c r="F9" i="6"/>
  <c r="F10" i="6"/>
  <c r="F11" i="6"/>
  <c r="F12" i="6"/>
  <c r="F13" i="6"/>
  <c r="F14" i="6"/>
  <c r="C89" i="6"/>
  <c r="C90" i="6"/>
  <c r="C91" i="6"/>
  <c r="C92" i="6"/>
  <c r="C93" i="6"/>
  <c r="C94" i="6"/>
  <c r="F5" i="6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P7" i="3"/>
  <c r="P23" i="3"/>
  <c r="P14" i="3"/>
  <c r="P12" i="3"/>
  <c r="P9" i="3"/>
  <c r="P11" i="3"/>
  <c r="P18" i="3"/>
  <c r="P17" i="3"/>
  <c r="P13" i="3"/>
  <c r="P16" i="3"/>
  <c r="P21" i="3"/>
  <c r="P20" i="3"/>
  <c r="P6" i="3"/>
  <c r="P10" i="3"/>
  <c r="P24" i="3"/>
  <c r="P22" i="3"/>
  <c r="P8" i="3"/>
  <c r="P15" i="3"/>
  <c r="P5" i="3"/>
  <c r="P19" i="3"/>
  <c r="M41" i="12"/>
  <c r="M76" i="12"/>
  <c r="M62" i="12"/>
  <c r="M19" i="12"/>
  <c r="M83" i="12"/>
  <c r="M29" i="12"/>
  <c r="M56" i="12"/>
  <c r="M50" i="12"/>
  <c r="M7" i="12"/>
  <c r="M71" i="12"/>
  <c r="M52" i="12"/>
  <c r="M33" i="12"/>
  <c r="M54" i="12"/>
  <c r="M75" i="12"/>
  <c r="M69" i="12"/>
  <c r="M90" i="12"/>
  <c r="M24" i="12"/>
  <c r="M27" i="12"/>
  <c r="M85" i="12"/>
  <c r="M40" i="12"/>
  <c r="M81" i="12"/>
  <c r="M36" i="12"/>
  <c r="M53" i="12"/>
  <c r="M8" i="12"/>
  <c r="M30" i="12"/>
  <c r="M28" i="12"/>
  <c r="M18" i="12"/>
  <c r="M39" i="12"/>
  <c r="M60" i="12"/>
  <c r="M4" i="12"/>
  <c r="M5" i="12"/>
  <c r="M26" i="12"/>
  <c r="M47" i="12"/>
  <c r="M6" i="12"/>
  <c r="M80" i="12"/>
  <c r="M72" i="12"/>
  <c r="M74" i="12"/>
  <c r="M89" i="12"/>
  <c r="M67" i="12"/>
  <c r="M13" i="12"/>
  <c r="M34" i="12"/>
  <c r="M55" i="12"/>
  <c r="M22" i="12"/>
  <c r="M37" i="12"/>
  <c r="M79" i="12"/>
  <c r="M21" i="12"/>
  <c r="M17" i="12"/>
  <c r="M57" i="12"/>
  <c r="M14" i="12"/>
  <c r="M78" i="12"/>
  <c r="M35" i="12"/>
  <c r="M12" i="12"/>
  <c r="M45" i="12"/>
  <c r="M84" i="12"/>
  <c r="M66" i="12"/>
  <c r="M23" i="12"/>
  <c r="M87" i="12"/>
  <c r="M65" i="12"/>
  <c r="M86" i="12"/>
  <c r="M20" i="12"/>
  <c r="M68" i="12"/>
  <c r="M15" i="12"/>
  <c r="M49" i="12"/>
  <c r="M91" i="12"/>
  <c r="M42" i="12"/>
  <c r="M38" i="12"/>
  <c r="M10" i="12"/>
  <c r="M9" i="12"/>
  <c r="M73" i="12"/>
  <c r="M48" i="12"/>
  <c r="M51" i="12"/>
  <c r="M61" i="12"/>
  <c r="M82" i="12"/>
  <c r="M16" i="12"/>
  <c r="M11" i="12"/>
  <c r="M25" i="12"/>
  <c r="M46" i="12"/>
  <c r="M88" i="12"/>
  <c r="M44" i="12"/>
  <c r="M77" i="12"/>
  <c r="M64" i="12"/>
  <c r="M32" i="12"/>
  <c r="M43" i="12"/>
  <c r="M58" i="12"/>
  <c r="M70" i="12"/>
  <c r="M63" i="12"/>
  <c r="M59" i="12"/>
  <c r="M31" i="12"/>
  <c r="K13" i="12"/>
  <c r="K29" i="12"/>
  <c r="K45" i="12"/>
  <c r="K61" i="12"/>
  <c r="K77" i="12"/>
  <c r="K6" i="12"/>
  <c r="K22" i="12"/>
  <c r="K38" i="12"/>
  <c r="K54" i="12"/>
  <c r="K70" i="12"/>
  <c r="K86" i="12"/>
  <c r="K15" i="12"/>
  <c r="K31" i="12"/>
  <c r="K47" i="12"/>
  <c r="K63" i="12"/>
  <c r="K79" i="12"/>
  <c r="K8" i="12"/>
  <c r="K24" i="12"/>
  <c r="K40" i="12"/>
  <c r="K56" i="12"/>
  <c r="K72" i="12"/>
  <c r="K88" i="12"/>
  <c r="Q14" i="3"/>
  <c r="Q11" i="3"/>
  <c r="Q10" i="3"/>
  <c r="Q16" i="3"/>
  <c r="Q17" i="3"/>
  <c r="K9" i="12"/>
  <c r="K41" i="12"/>
  <c r="K89" i="12"/>
  <c r="K34" i="12"/>
  <c r="K66" i="12"/>
  <c r="K11" i="12"/>
  <c r="K43" i="12"/>
  <c r="K75" i="12"/>
  <c r="K20" i="12"/>
  <c r="K52" i="12"/>
  <c r="K84" i="12"/>
  <c r="Q20" i="3"/>
  <c r="Q18" i="3"/>
  <c r="Q21" i="3"/>
  <c r="Q22" i="3"/>
  <c r="K17" i="12"/>
  <c r="K33" i="12"/>
  <c r="K49" i="12"/>
  <c r="K65" i="12"/>
  <c r="K81" i="12"/>
  <c r="K10" i="12"/>
  <c r="K26" i="12"/>
  <c r="K42" i="12"/>
  <c r="K58" i="12"/>
  <c r="K74" i="12"/>
  <c r="K90" i="12"/>
  <c r="K19" i="12"/>
  <c r="K35" i="12"/>
  <c r="K51" i="12"/>
  <c r="K67" i="12"/>
  <c r="K83" i="12"/>
  <c r="K12" i="12"/>
  <c r="K28" i="12"/>
  <c r="K44" i="12"/>
  <c r="K60" i="12"/>
  <c r="K76" i="12"/>
  <c r="K4" i="12"/>
  <c r="Q7" i="3"/>
  <c r="Q8" i="3"/>
  <c r="Q6" i="3"/>
  <c r="Q19" i="3"/>
  <c r="K25" i="12"/>
  <c r="K57" i="12"/>
  <c r="K73" i="12"/>
  <c r="K18" i="12"/>
  <c r="K50" i="12"/>
  <c r="K82" i="12"/>
  <c r="K27" i="12"/>
  <c r="K59" i="12"/>
  <c r="K91" i="12"/>
  <c r="K36" i="12"/>
  <c r="K68" i="12"/>
  <c r="Q23" i="3"/>
  <c r="K5" i="12"/>
  <c r="K21" i="12"/>
  <c r="K37" i="12"/>
  <c r="K53" i="12"/>
  <c r="K69" i="12"/>
  <c r="K85" i="12"/>
  <c r="K14" i="12"/>
  <c r="K30" i="12"/>
  <c r="K46" i="12"/>
  <c r="K62" i="12"/>
  <c r="K78" i="12"/>
  <c r="K7" i="12"/>
  <c r="K23" i="12"/>
  <c r="K39" i="12"/>
  <c r="K55" i="12"/>
  <c r="K71" i="12"/>
  <c r="K87" i="12"/>
  <c r="K16" i="12"/>
  <c r="K32" i="12"/>
  <c r="K48" i="12"/>
  <c r="K64" i="12"/>
  <c r="K80" i="12"/>
  <c r="Q13" i="3"/>
  <c r="Q24" i="3"/>
  <c r="Q9" i="3"/>
  <c r="Q15" i="3"/>
  <c r="Q5" i="3"/>
  <c r="Q12" i="3"/>
  <c r="O7" i="12" l="1"/>
  <c r="O11" i="12"/>
  <c r="O15" i="12"/>
  <c r="O19" i="12"/>
  <c r="O23" i="12"/>
  <c r="O27" i="12"/>
  <c r="O31" i="12"/>
  <c r="O35" i="12"/>
  <c r="O39" i="12"/>
  <c r="O43" i="12"/>
  <c r="O47" i="12"/>
  <c r="O51" i="12"/>
  <c r="O55" i="12"/>
  <c r="O59" i="12"/>
  <c r="O63" i="12"/>
  <c r="O67" i="12"/>
  <c r="O71" i="12"/>
  <c r="O75" i="12"/>
  <c r="O79" i="12"/>
  <c r="O83" i="12"/>
  <c r="O87" i="12"/>
  <c r="O91" i="12"/>
  <c r="O5" i="12"/>
  <c r="O9" i="12"/>
  <c r="O13" i="12"/>
  <c r="O17" i="12"/>
  <c r="O21" i="12"/>
  <c r="O25" i="12"/>
  <c r="O29" i="12"/>
  <c r="O33" i="12"/>
  <c r="O37" i="12"/>
  <c r="O41" i="12"/>
  <c r="O45" i="12"/>
  <c r="O49" i="12"/>
  <c r="O53" i="12"/>
  <c r="O57" i="12"/>
  <c r="O61" i="12"/>
  <c r="O65" i="12"/>
  <c r="O69" i="12"/>
  <c r="O73" i="12"/>
  <c r="O77" i="12"/>
  <c r="O81" i="12"/>
  <c r="O85" i="12"/>
  <c r="O89" i="12"/>
  <c r="S12" i="3"/>
  <c r="S5" i="3"/>
  <c r="S15" i="3"/>
  <c r="S9" i="3"/>
  <c r="S24" i="3"/>
  <c r="S13" i="3"/>
  <c r="S23" i="3"/>
  <c r="S19" i="3"/>
  <c r="S6" i="3"/>
  <c r="S8" i="3"/>
  <c r="S7" i="3"/>
  <c r="S22" i="3"/>
  <c r="S21" i="3"/>
  <c r="S18" i="3"/>
  <c r="S20" i="3"/>
  <c r="S17" i="3"/>
  <c r="S16" i="3"/>
  <c r="S10" i="3"/>
  <c r="S11" i="3"/>
  <c r="S14" i="3"/>
</calcChain>
</file>

<file path=xl/sharedStrings.xml><?xml version="1.0" encoding="utf-8"?>
<sst xmlns="http://schemas.openxmlformats.org/spreadsheetml/2006/main" count="1133" uniqueCount="953">
  <si>
    <t>PK</t>
  </si>
  <si>
    <t>FK</t>
  </si>
  <si>
    <t>CLIENTES</t>
  </si>
  <si>
    <t>ESTEFANIA</t>
  </si>
  <si>
    <t>CALLE ROMA 371 - 375</t>
  </si>
  <si>
    <t>AV. PARQUE NORTE 1160 OFC. 402 - RES. CENTRO EMP PARQUE NORTE</t>
  </si>
  <si>
    <t>africa@altecom.es</t>
  </si>
  <si>
    <t>QUERALT</t>
  </si>
  <si>
    <t>AV. PASEO DE LA REPUBLICA 291 INT. 1803</t>
  </si>
  <si>
    <t>agata@hotmail.com</t>
  </si>
  <si>
    <t>JOAN</t>
  </si>
  <si>
    <t>CALLE RAMON RIBEYRO 264 URB. SAN ANTONIO</t>
  </si>
  <si>
    <t>JR. JORGE CHAVEZ 150</t>
  </si>
  <si>
    <t>curie@minorisa.es</t>
  </si>
  <si>
    <t>AV. SANTA CATALINA 529 - LA VICTORIA</t>
  </si>
  <si>
    <t>AV. PEDRO DE OSMA 402</t>
  </si>
  <si>
    <t>albatros@wandoo.es</t>
  </si>
  <si>
    <t>MARC</t>
  </si>
  <si>
    <t>AV. SANTO TORIBIO 143 (6TO. PISO) EDIFICIO STO. TORIBIO</t>
  </si>
  <si>
    <t>albert@intercom.es</t>
  </si>
  <si>
    <t>JOSEP</t>
  </si>
  <si>
    <t>JR. CARABAYA 560 OF. 04 (2DO. PISO)</t>
  </si>
  <si>
    <t>AV. PABLO BERMUDEZ NRO. 254 E</t>
  </si>
  <si>
    <t>alien@intercom.es</t>
  </si>
  <si>
    <t>ESTHER</t>
  </si>
  <si>
    <t>amores@hotmail.com</t>
  </si>
  <si>
    <t>LAURA</t>
  </si>
  <si>
    <t>CALLE ALCALA 350 - URB. LA CASTELLANA (OVALO HIGUERETA)</t>
  </si>
  <si>
    <t>anabel@altecom.es</t>
  </si>
  <si>
    <t>RAQUEL</t>
  </si>
  <si>
    <t>AV. JAVIER PRADO OESTE 2361</t>
  </si>
  <si>
    <t>CALLE DEAN VALDIVIA 148 PISO 11 OF. REGUS</t>
  </si>
  <si>
    <t>antiga@minorisa.es</t>
  </si>
  <si>
    <t>AV. RESIDENCIAL SALAVERRY BLOCK 1 DPTO 202</t>
  </si>
  <si>
    <t>ballador@hotmail.com</t>
  </si>
  <si>
    <t>MARIA</t>
  </si>
  <si>
    <t>CALLE ANTEQUERA 176 OF. 302</t>
  </si>
  <si>
    <t>AV. 28 DE JULIO NRO. 1044 DPTO. 601 URB. SAN ANTONIO</t>
  </si>
  <si>
    <t>balladora@altecom.es</t>
  </si>
  <si>
    <t>ADRIÀ</t>
  </si>
  <si>
    <t>URB. VILLA VICTORIA MZ.I - LT.8 (DEPARTAMENTO 301)</t>
  </si>
  <si>
    <t>PSJE. SUCRE 177</t>
  </si>
  <si>
    <t>barbilla@hotmail.com</t>
  </si>
  <si>
    <t>GERARD</t>
  </si>
  <si>
    <t>CALLE CORONEL ANDRES REYES NRO. 360 INT. 703 URB. JARDIN</t>
  </si>
  <si>
    <t>besugo@minorisa.es</t>
  </si>
  <si>
    <t>ELIOT</t>
  </si>
  <si>
    <t>CALLE PAZ SOLDAN 170 OF. 205</t>
  </si>
  <si>
    <t>bogart@terra.es</t>
  </si>
  <si>
    <t>JORDI</t>
  </si>
  <si>
    <t>AV. TOMAS MARSANO 1790 DPTO. 201</t>
  </si>
  <si>
    <t>bond@terra.es</t>
  </si>
  <si>
    <t>LLUÍS</t>
  </si>
  <si>
    <t>AV. AV. IGNACIO MERINO NRO. 2422 INT. 101</t>
  </si>
  <si>
    <t>CALLE ARCE #139 DPTO 604</t>
  </si>
  <si>
    <t>dalí@wandoo.es</t>
  </si>
  <si>
    <t>cela@altecom.es</t>
  </si>
  <si>
    <t>CALLE MANUEL ALMENARA #265</t>
  </si>
  <si>
    <t>AV. JAVIER PADO OESTE 203</t>
  </si>
  <si>
    <t>coco@hotmail.com</t>
  </si>
  <si>
    <t>DOUNYA</t>
  </si>
  <si>
    <t>conejo@minorisa.es</t>
  </si>
  <si>
    <t>JULIO</t>
  </si>
  <si>
    <t>CALLE LAS CODORNICES 285</t>
  </si>
  <si>
    <t>CALLE INDEPENDENCIA 663 URB. MIRAFLORES</t>
  </si>
  <si>
    <t>corcel@altecom.es</t>
  </si>
  <si>
    <t>ID_EST_RES</t>
  </si>
  <si>
    <t>ID_REGION</t>
  </si>
  <si>
    <t>Av. Gonzalo Ugás N° 29</t>
  </si>
  <si>
    <t>Lt. 3 Mz. B-1, Urb. Parque Industrial</t>
  </si>
  <si>
    <t>Av.Julian Arce Larreta Mz 27 L 27 Victor Raul Haya De La Tor</t>
  </si>
  <si>
    <t>Av.San Pablo 123</t>
  </si>
  <si>
    <t>maeillanes@hotmail.com</t>
  </si>
  <si>
    <t>Urb San Jose de California</t>
  </si>
  <si>
    <t>Av Mansiche 345</t>
  </si>
  <si>
    <t>osabarca@hotmail.com</t>
  </si>
  <si>
    <t>Av. Larco 1770, Trujillo 13001</t>
  </si>
  <si>
    <t>Urb El Bosque 947</t>
  </si>
  <si>
    <t>Sb.nashxo.sk8@hotmail.com</t>
  </si>
  <si>
    <t>Urb La Noria 126</t>
  </si>
  <si>
    <t>fran.afull@live.cl</t>
  </si>
  <si>
    <t>Psj Monaco 187</t>
  </si>
  <si>
    <t>carlosaguileram@hotmail.com</t>
  </si>
  <si>
    <t>A1 lote 01,, Sta. Teresa de Jesús, Distrito de Víctor Larco Herrera</t>
  </si>
  <si>
    <t>ikis_rojo@hotmail.com</t>
  </si>
  <si>
    <t>Av. Juan Pablo II, Trujillo 13011</t>
  </si>
  <si>
    <t>vizkala@hotmail.com</t>
  </si>
  <si>
    <t>1N, Distrito de Víctor Larco Herrera 13009, Trujillo 13001</t>
  </si>
  <si>
    <t>alexus3@hotmail.com</t>
  </si>
  <si>
    <t>Las Capullanas 273, Distrito de Víctor Larco Herrera 13009</t>
  </si>
  <si>
    <t>capitanaguilera@hotmail.com</t>
  </si>
  <si>
    <t>Av. Primavera 43, Distrito de Víctor Larco Herrera 13008</t>
  </si>
  <si>
    <t>apalamosg@hotmail.com</t>
  </si>
  <si>
    <t>AREA</t>
  </si>
  <si>
    <t>ID_AREA</t>
  </si>
  <si>
    <t>A_DESCR</t>
  </si>
  <si>
    <t>CARGO</t>
  </si>
  <si>
    <t>ID_CARGO</t>
  </si>
  <si>
    <t>P_NOMBRE</t>
  </si>
  <si>
    <t>P_DNI</t>
  </si>
  <si>
    <t>P_DIRECCION</t>
  </si>
  <si>
    <t>P_TELEFONO</t>
  </si>
  <si>
    <t>P_CORREO</t>
  </si>
  <si>
    <t>KARLA</t>
  </si>
  <si>
    <t>JOSE</t>
  </si>
  <si>
    <t>LUZ</t>
  </si>
  <si>
    <t>LAYEVSKA</t>
  </si>
  <si>
    <t>JOYZI</t>
  </si>
  <si>
    <t>GABRIELA</t>
  </si>
  <si>
    <t>LUIS</t>
  </si>
  <si>
    <t>GABRIEL</t>
  </si>
  <si>
    <t>NICOLAS</t>
  </si>
  <si>
    <t>SEBASTIAN</t>
  </si>
  <si>
    <t>ANDREA</t>
  </si>
  <si>
    <t>DANIELA</t>
  </si>
  <si>
    <t>MATIAS</t>
  </si>
  <si>
    <t>EMILIA</t>
  </si>
  <si>
    <t>JHONATAN</t>
  </si>
  <si>
    <t>jhonatan@corporation.ven</t>
  </si>
  <si>
    <t>Lavanderia</t>
  </si>
  <si>
    <t>Mantenimiento</t>
  </si>
  <si>
    <t>Asistente de Gerencia</t>
  </si>
  <si>
    <t>Camaristas</t>
  </si>
  <si>
    <t>Jefe de Recepción</t>
  </si>
  <si>
    <t>Recepcionista</t>
  </si>
  <si>
    <t>Fuego</t>
  </si>
  <si>
    <t>Galgo</t>
  </si>
  <si>
    <t>Garota</t>
  </si>
  <si>
    <t>gata</t>
  </si>
  <si>
    <t>Gateta</t>
  </si>
  <si>
    <t>Gioconda</t>
  </si>
  <si>
    <t>Groucho</t>
  </si>
  <si>
    <t>Harpo</t>
  </si>
  <si>
    <t>Hispa</t>
  </si>
  <si>
    <t>Hojalatero</t>
  </si>
  <si>
    <t>Huevo</t>
  </si>
  <si>
    <t>James Dean</t>
  </si>
  <si>
    <t>Jéssica</t>
  </si>
  <si>
    <t>Julia</t>
  </si>
  <si>
    <t>Julio</t>
  </si>
  <si>
    <t>Lali</t>
  </si>
  <si>
    <t>libero</t>
  </si>
  <si>
    <t>Llus</t>
  </si>
  <si>
    <t>Loli</t>
  </si>
  <si>
    <t>Madonna</t>
  </si>
  <si>
    <t>Mata Hari</t>
  </si>
  <si>
    <t>Melanie</t>
  </si>
  <si>
    <t>Melquíades</t>
  </si>
  <si>
    <t>Merche</t>
  </si>
  <si>
    <t>Midas</t>
  </si>
  <si>
    <t>Mona lisa</t>
  </si>
  <si>
    <t>Moro</t>
  </si>
  <si>
    <t>Mozart</t>
  </si>
  <si>
    <t>Nadadora</t>
  </si>
  <si>
    <t>Nalga</t>
  </si>
  <si>
    <t>Napoleon</t>
  </si>
  <si>
    <t>Orondo</t>
  </si>
  <si>
    <t>Papagayo</t>
  </si>
  <si>
    <t>Paseante</t>
  </si>
  <si>
    <t>Pasión</t>
  </si>
  <si>
    <t>Pato</t>
  </si>
  <si>
    <t>Pelusa</t>
  </si>
  <si>
    <t>Perla</t>
  </si>
  <si>
    <t>Picasso</t>
  </si>
  <si>
    <t>poma</t>
  </si>
  <si>
    <t>Psicosis</t>
  </si>
  <si>
    <t>Quince centimos</t>
  </si>
  <si>
    <t>Rebeca</t>
  </si>
  <si>
    <t>Rebelde</t>
  </si>
  <si>
    <t>Recio</t>
  </si>
  <si>
    <t>Recital</t>
  </si>
  <si>
    <t>Rene</t>
  </si>
  <si>
    <t>Repicó</t>
  </si>
  <si>
    <t>Rica</t>
  </si>
  <si>
    <t>Rockera</t>
  </si>
  <si>
    <t>Roma</t>
  </si>
  <si>
    <t>Roman</t>
  </si>
  <si>
    <t>Romario</t>
  </si>
  <si>
    <t>Romeo</t>
  </si>
  <si>
    <t>Romesco</t>
  </si>
  <si>
    <t>RONC</t>
  </si>
  <si>
    <t>Sabrosa</t>
  </si>
  <si>
    <t>Salsa</t>
  </si>
  <si>
    <t>sandra</t>
  </si>
  <si>
    <t>Sha</t>
  </si>
  <si>
    <t>Sincer</t>
  </si>
  <si>
    <t>Sincera</t>
  </si>
  <si>
    <t>suau</t>
  </si>
  <si>
    <t>Superman</t>
  </si>
  <si>
    <t>Superwoman</t>
  </si>
  <si>
    <t>Tablon</t>
  </si>
  <si>
    <t>tendre</t>
  </si>
  <si>
    <t>Teta</t>
  </si>
  <si>
    <t>Tomasa</t>
  </si>
  <si>
    <t>Tranquil</t>
  </si>
  <si>
    <t>Tremenda</t>
  </si>
  <si>
    <t>Tripa</t>
  </si>
  <si>
    <t>Verruga</t>
  </si>
  <si>
    <t>cangur@intercom.es</t>
  </si>
  <si>
    <t>caparranas@altecom.es</t>
  </si>
  <si>
    <t>carretero@intercom.es</t>
  </si>
  <si>
    <t>dolça@cidet.com</t>
  </si>
  <si>
    <t>dorada@intercom.es</t>
  </si>
  <si>
    <t>elisa@altecom.es</t>
  </si>
  <si>
    <t>encarna@hotmail.com</t>
  </si>
  <si>
    <t>entesa@altecom.es</t>
  </si>
  <si>
    <t>et@altecom.es</t>
  </si>
  <si>
    <t>experta@wandoo.es</t>
  </si>
  <si>
    <t>f5@wandoo.es</t>
  </si>
  <si>
    <t>fina@hotmail.com</t>
  </si>
  <si>
    <t>fuego@altecom.es</t>
  </si>
  <si>
    <t>garota@hotmail.com</t>
  </si>
  <si>
    <t>gateta@cataloniamail.com</t>
  </si>
  <si>
    <t>groucho@intercom.es</t>
  </si>
  <si>
    <t>harpo@hotmail.com</t>
  </si>
  <si>
    <t>hispa@cataloniamail.com</t>
  </si>
  <si>
    <t>huevo@terra.es</t>
  </si>
  <si>
    <t>james dean@intercom.es</t>
  </si>
  <si>
    <t>jéssica@hotmail.com</t>
  </si>
  <si>
    <t>llus@hotmail.com</t>
  </si>
  <si>
    <t>madonna@wandoo.es</t>
  </si>
  <si>
    <t>mata hari@intercom.es</t>
  </si>
  <si>
    <t>melanie@minorisa.es</t>
  </si>
  <si>
    <t>melquíades@hotmail.com</t>
  </si>
  <si>
    <t>merche@terra.es</t>
  </si>
  <si>
    <t>midas@cataloniamail.com</t>
  </si>
  <si>
    <t>mona lisa@minorisa.es</t>
  </si>
  <si>
    <t>moro@minorisa.es</t>
  </si>
  <si>
    <t>mozart@wandoo.es</t>
  </si>
  <si>
    <t>napoleon@cidet.com</t>
  </si>
  <si>
    <t>orondo@altecom.es</t>
  </si>
  <si>
    <t>papagayo@altecom.es</t>
  </si>
  <si>
    <t>pasión@altecom.es</t>
  </si>
  <si>
    <t>pelusa@hotmail.com</t>
  </si>
  <si>
    <t>perla@cataloniamail.com</t>
  </si>
  <si>
    <t>psicosis@intercom.es</t>
  </si>
  <si>
    <t>rebeca@cataloniamail.com</t>
  </si>
  <si>
    <t>rebelde@intercom.es</t>
  </si>
  <si>
    <t>rene@intercom.es</t>
  </si>
  <si>
    <t>rica@terra.es</t>
  </si>
  <si>
    <t>rockera@terra.es</t>
  </si>
  <si>
    <t>roman@wandoo.es</t>
  </si>
  <si>
    <t>romeo@intercom.es</t>
  </si>
  <si>
    <t>ronc@cataloniamail.com</t>
  </si>
  <si>
    <t>sabrosa@hotmail.com</t>
  </si>
  <si>
    <t>salsa@cataloniamail.com</t>
  </si>
  <si>
    <t>sincer@altecom.es</t>
  </si>
  <si>
    <t>sincera@hotmail.com</t>
  </si>
  <si>
    <t>suau@hotmail.com</t>
  </si>
  <si>
    <t>tablon@hotmail.com</t>
  </si>
  <si>
    <t>superman@altecom.es</t>
  </si>
  <si>
    <t>superwoman@wandoo.es</t>
  </si>
  <si>
    <t>tendre@terra.es</t>
  </si>
  <si>
    <t>teta@intercom.es</t>
  </si>
  <si>
    <t>tomasa@hotmail.com</t>
  </si>
  <si>
    <t>tremenda@altecom.es</t>
  </si>
  <si>
    <t>tripa@intercom.es</t>
  </si>
  <si>
    <t>verruga@hotmail.com</t>
  </si>
  <si>
    <t>SECTOR 8 GRUPO 1 MZ. C LT. 12</t>
  </si>
  <si>
    <t>CALLE LUIS GALVANI 234 URB. IND. SANTA ROSA</t>
  </si>
  <si>
    <t>CALLE JOSE CARLOS MARIATEGUI MZA. G LOTE. 21 URB. URB. AEROPUERTO 2DO SECT</t>
  </si>
  <si>
    <t>PLAZA BL. G NRO. 3 DPTO. 301 URB. MANZANILLA</t>
  </si>
  <si>
    <t>AV. JOAQUIN CAPELLO 366 DPTO 405 UIRB. SANTA CRUZ</t>
  </si>
  <si>
    <t>JR. FRANCIA Nº 1813 LA VICTORIA</t>
  </si>
  <si>
    <t>AV. MARISCAL ELOY URETA 316 URB. EL PINO</t>
  </si>
  <si>
    <t>JR. RIO TUMBES 215 URB. LAS MORAS</t>
  </si>
  <si>
    <t>CALLE ENRIQUE BARRON 280 URB.TEJADA</t>
  </si>
  <si>
    <t>AV. AV. JAVIER PRADO OESTE NRO. 2367 DPTO. 202</t>
  </si>
  <si>
    <t>PSJE. SEÑOR DE LOS MILAGROS 103 MERCADO PRODUCTORES</t>
  </si>
  <si>
    <t>CALLE 54 NRO 109 INT. 205 URB. CORPAC</t>
  </si>
  <si>
    <t>MZ. O LT 11 SECTOR C3 PROYECTO.PILOTO PACHACUTEC</t>
  </si>
  <si>
    <t>CALLE MANUEL UGARTECHE MZ Z 2 LT. 24 URB. GRUMETE MEDINA</t>
  </si>
  <si>
    <t>AV. JAVIER PRADO ESTE 560 INT. 1502 (A LADO DE 566)</t>
  </si>
  <si>
    <t>CALLE EL HABITO 921 - URB. CANTO GRANDE</t>
  </si>
  <si>
    <t>JR. LAS PERLAS 1882 2DO PISO</t>
  </si>
  <si>
    <t>CALLE COMANDANTE JIMENEZ 150</t>
  </si>
  <si>
    <t>AV. REYNALDO SAAVEDRA PINON 2627 URB. ELIO</t>
  </si>
  <si>
    <t>JR. JR. BELAUNDE OESTE 198 URB. HUAQUILLAY</t>
  </si>
  <si>
    <t>CALLE SEBASTIAN SALAZAR BONDY NRO. 151 URB. JACARANDA MAGDALENA DEL MAR</t>
  </si>
  <si>
    <t>AV. JOSE PARDO 434 DPTO. 405</t>
  </si>
  <si>
    <t>CALLE PALCA NRO. 172 INT. 201 (EDIFICIO CHINCHA 2DO PISO) LIMA - LIMA - LIMA</t>
  </si>
  <si>
    <t>AV. SAN BORJA NORTE 421 DPTO 201</t>
  </si>
  <si>
    <t>CALLE JOSE TORIBIO POLO 327 INT 709 URB. SANTA CRUZ</t>
  </si>
  <si>
    <t>AV. SALAVERRY 674 DPTO. 501</t>
  </si>
  <si>
    <t>AV. JAVIER PRADO ESTE 560 OFC 2302 , PISO 23</t>
  </si>
  <si>
    <t>A_Pass</t>
  </si>
  <si>
    <t>correo_electronico</t>
  </si>
  <si>
    <t>Apellidos</t>
  </si>
  <si>
    <t>DNI</t>
  </si>
  <si>
    <t>EXPERIENCIA</t>
  </si>
  <si>
    <t>5 Años</t>
  </si>
  <si>
    <t>12 Años</t>
  </si>
  <si>
    <t>14 Años</t>
  </si>
  <si>
    <t>9 Años</t>
  </si>
  <si>
    <t>2 Años</t>
  </si>
  <si>
    <t>10 Años</t>
  </si>
  <si>
    <t>4 Años</t>
  </si>
  <si>
    <t>8 Años</t>
  </si>
  <si>
    <t>6 Años</t>
  </si>
  <si>
    <t>7 Años</t>
  </si>
  <si>
    <t>Tecnico</t>
  </si>
  <si>
    <t>Universitario</t>
  </si>
  <si>
    <t>AROCAS PASADAS</t>
  </si>
  <si>
    <t>VISO GILABERT</t>
  </si>
  <si>
    <t>AYALA FERRERAS</t>
  </si>
  <si>
    <t>BAEZ TEJADO</t>
  </si>
  <si>
    <t>BASTARDES SOTO</t>
  </si>
  <si>
    <t>ANGUERA VILAFRANCA</t>
  </si>
  <si>
    <t>PASCUAL ALOY</t>
  </si>
  <si>
    <t>VALLÉS GIRVENT</t>
  </si>
  <si>
    <t>RAYA GARCIA</t>
  </si>
  <si>
    <t>ANDREU CRUZ</t>
  </si>
  <si>
    <t>BARALDÉS COMAS</t>
  </si>
  <si>
    <t>BERENGUERAS CULLERÉS</t>
  </si>
  <si>
    <t>GARCIA UCEDA</t>
  </si>
  <si>
    <t>ARNAU MORENO</t>
  </si>
  <si>
    <t>RAYA GAVILAN</t>
  </si>
  <si>
    <t>ZAMBUDIO FIGULS</t>
  </si>
  <si>
    <t>BIDAULT CULLERÉS</t>
  </si>
  <si>
    <t>BIOSCA FONTANET</t>
  </si>
  <si>
    <t>ZAFRA FIGULS</t>
  </si>
  <si>
    <t>ALEU ICART</t>
  </si>
  <si>
    <t>grado_instruccion</t>
  </si>
  <si>
    <t>HABILIDADES</t>
  </si>
  <si>
    <t>NOMBRES</t>
  </si>
  <si>
    <t>N_TELEFONICO</t>
  </si>
  <si>
    <t>OBJETIVOS</t>
  </si>
  <si>
    <t>TITULO</t>
  </si>
  <si>
    <t>APLICANTESID</t>
  </si>
  <si>
    <t>SEDEID</t>
  </si>
  <si>
    <t>CARGIID</t>
  </si>
  <si>
    <t>SEDE</t>
  </si>
  <si>
    <t>NOMBRE_SEDE</t>
  </si>
  <si>
    <t>Sede Amazonas</t>
  </si>
  <si>
    <t>Sede Áncash</t>
  </si>
  <si>
    <t>Sede Apurímac</t>
  </si>
  <si>
    <t>Sede Arequipa</t>
  </si>
  <si>
    <t>Sede Cajamarca</t>
  </si>
  <si>
    <t>Sede Callao</t>
  </si>
  <si>
    <t>Sede Cusco</t>
  </si>
  <si>
    <t>Sede Huancavelica</t>
  </si>
  <si>
    <t>Sede Huánuco</t>
  </si>
  <si>
    <t>Sede Trujillo</t>
  </si>
  <si>
    <t>ANESTESIOLOGÍA</t>
  </si>
  <si>
    <t>CIRUGÍA GENERAL Y DIGESTIVA</t>
  </si>
  <si>
    <t>LABORATORIOS CLÍNICOS</t>
  </si>
  <si>
    <t>CARDIOLOGÍA</t>
  </si>
  <si>
    <t>CIRUGÍA ORTOPÉDICA Y TRAUMATOLOGÍA</t>
  </si>
  <si>
    <t>RADIODIAGNÓSTICO</t>
  </si>
  <si>
    <t>CUIDADOS INTENSIVOS</t>
  </si>
  <si>
    <t>DERMATOLOGÍA</t>
  </si>
  <si>
    <t>FARMACIA</t>
  </si>
  <si>
    <t>DIGESTIVO</t>
  </si>
  <si>
    <t>GINECOLOGÍA Y OBSTETRICIA</t>
  </si>
  <si>
    <t>MEDICINA PREVENTIVA</t>
  </si>
  <si>
    <t>HEMATOLOGÍA</t>
  </si>
  <si>
    <t>OFTALMOLOGÍA</t>
  </si>
  <si>
    <t>MEDICINA INTERNA</t>
  </si>
  <si>
    <t>OTORRINOLARIONGOLOGÍA</t>
  </si>
  <si>
    <t>NEFROLOGÍA</t>
  </si>
  <si>
    <t>UROLOGÍA</t>
  </si>
  <si>
    <t>NEUMOLOGÍA</t>
  </si>
  <si>
    <t>ONCOLOGÍA</t>
  </si>
  <si>
    <t>PEDIATRÍA/NEONATOLOGÍA</t>
  </si>
  <si>
    <t>REHABILITACIÓN</t>
  </si>
  <si>
    <t>URGENCIAS</t>
  </si>
  <si>
    <t>Auxiliares de enfermería.</t>
  </si>
  <si>
    <t>Médico</t>
  </si>
  <si>
    <t>Especialistas</t>
  </si>
  <si>
    <t>Personal de enfermería</t>
  </si>
  <si>
    <t>Personal de enfermería práctico</t>
  </si>
  <si>
    <t>asistentes médicos</t>
  </si>
  <si>
    <t>Defensor del paciente</t>
  </si>
  <si>
    <t>MUCHAS</t>
  </si>
  <si>
    <t>ASCENDER</t>
  </si>
  <si>
    <t>REQUERIMIENTO</t>
  </si>
  <si>
    <t>DESCRIPCION</t>
  </si>
  <si>
    <t>RQUERIMIENTOID</t>
  </si>
  <si>
    <t>Tener mas de 18</t>
  </si>
  <si>
    <t>Ser peruano</t>
  </si>
  <si>
    <t>Ser soltero</t>
  </si>
  <si>
    <t>No registrar antecedentes policiales, penales ni judiciales</t>
  </si>
  <si>
    <t>Secundaria completa</t>
  </si>
  <si>
    <t>Copia del Título de Médico</t>
  </si>
  <si>
    <t>Requerimientos_aplicantes</t>
  </si>
  <si>
    <t>aplicantes</t>
  </si>
  <si>
    <t>requerimientos</t>
  </si>
  <si>
    <t>LOYOLA BOHORQUEZ</t>
  </si>
  <si>
    <t>DIAS MUÑOZ</t>
  </si>
  <si>
    <t>SIFUENTES CABANILLAS</t>
  </si>
  <si>
    <t>FIGUEROA JIMENEZ</t>
  </si>
  <si>
    <t>DIAZ DIAZ</t>
  </si>
  <si>
    <t>RODRIGUEZ MEDINA</t>
  </si>
  <si>
    <t>SERNAQUE SILVA</t>
  </si>
  <si>
    <t>MORALES GONZALES</t>
  </si>
  <si>
    <t>ALCANTARA PEREZ</t>
  </si>
  <si>
    <t>MERINO GUTIERRES</t>
  </si>
  <si>
    <t>CABALLERO DIAS</t>
  </si>
  <si>
    <t>PINEDA RISCO</t>
  </si>
  <si>
    <t>CRUZ LAZARO</t>
  </si>
  <si>
    <t>GAVIDIA RISCO</t>
  </si>
  <si>
    <t>RIOS GARCIA</t>
  </si>
  <si>
    <t>AVILA MASJUAN</t>
  </si>
  <si>
    <t>PARRAMON FLORES</t>
  </si>
  <si>
    <t>AGUILAR RAMOS</t>
  </si>
  <si>
    <t>AYALA ALSINA</t>
  </si>
  <si>
    <t>ALVAREZ TROYANO</t>
  </si>
  <si>
    <t>ALINS GONZÁLEZ</t>
  </si>
  <si>
    <t>ACUÑA TORT</t>
  </si>
  <si>
    <t>ALGUÉ TRANCHO</t>
  </si>
  <si>
    <t>BADIA CASTILLO</t>
  </si>
  <si>
    <t>BENITEZ FLORES</t>
  </si>
  <si>
    <t>TORRUELLA GARCIA</t>
  </si>
  <si>
    <t>ALBERICH RODRIGUEZ</t>
  </si>
  <si>
    <t>ARMENCOT PUIG</t>
  </si>
  <si>
    <t>ALIGUÉ RIVERA</t>
  </si>
  <si>
    <t>BARRIGA RIU</t>
  </si>
  <si>
    <t>PORTELLA GISPETS</t>
  </si>
  <si>
    <t>AGUILERA BAENA</t>
  </si>
  <si>
    <t>RODRIGUEZ GARCÍA</t>
  </si>
  <si>
    <t>AGUILAR SUNYÉ</t>
  </si>
  <si>
    <t>BARRIGA TARDÀ</t>
  </si>
  <si>
    <t>BARCONS LARA</t>
  </si>
  <si>
    <t>AGUILERA TATJÉ</t>
  </si>
  <si>
    <t>ALEU PRAT</t>
  </si>
  <si>
    <t>MOLINA GARRIDO</t>
  </si>
  <si>
    <t>ARISSA HERMOSO</t>
  </si>
  <si>
    <t>BARALDÉS PARDO</t>
  </si>
  <si>
    <t>SUAREZ GARZÓN</t>
  </si>
  <si>
    <t>ARPA MORENO</t>
  </si>
  <si>
    <t>ALOY FARRANDO</t>
  </si>
  <si>
    <t>LUQUE GARRIGASAIT</t>
  </si>
  <si>
    <t>RIDÓ GÓMEZ</t>
  </si>
  <si>
    <t>SANTAMARIA FLOTATS</t>
  </si>
  <si>
    <t>HERMS GÓMEZ</t>
  </si>
  <si>
    <t>ARTIGAS MATURANO</t>
  </si>
  <si>
    <t>AGUILAR MASANA</t>
  </si>
  <si>
    <t>ALTIMIRAS SERAROLS</t>
  </si>
  <si>
    <t>TORRESCASANA GARCIA</t>
  </si>
  <si>
    <t>ARIZA PUIGBÓ</t>
  </si>
  <si>
    <t>ALVAREZ ARMENTEROS</t>
  </si>
  <si>
    <t>BARALDÉS TARRAGÓ</t>
  </si>
  <si>
    <t>GARCIA GARCÍA</t>
  </si>
  <si>
    <t>AROCA GÓMEZ</t>
  </si>
  <si>
    <t>ALONSO RODRIGUEZ</t>
  </si>
  <si>
    <t>CANO GÓMEZ</t>
  </si>
  <si>
    <t>ALCAIDE MOLINA</t>
  </si>
  <si>
    <t>AGUILERA PRAT</t>
  </si>
  <si>
    <t>ALAPONT ICART</t>
  </si>
  <si>
    <t>RIVERO FLORIDO</t>
  </si>
  <si>
    <t>GRANADOS ANDRÉS</t>
  </si>
  <si>
    <t>FERRER GASSET</t>
  </si>
  <si>
    <t>AMIGO MODREGO</t>
  </si>
  <si>
    <t>ABDIN TATJÈ</t>
  </si>
  <si>
    <t>CANELLAS GOMEZ</t>
  </si>
  <si>
    <t>HIDALGO ALTIMIRAS</t>
  </si>
  <si>
    <t>BASTARDAS FRANCH</t>
  </si>
  <si>
    <t>ABADIAS MASANA</t>
  </si>
  <si>
    <t>AREVALO SANCHEZ</t>
  </si>
  <si>
    <t>ALINS MULET</t>
  </si>
  <si>
    <t>GARCIA GONZÁLEZ</t>
  </si>
  <si>
    <t>ALVAREZ PARCERISA</t>
  </si>
  <si>
    <t>CASAS ANDRÉS</t>
  </si>
  <si>
    <t>MORALES GESE</t>
  </si>
  <si>
    <t>BARALDÉS MARTORELL</t>
  </si>
  <si>
    <t>RUEDA ALVAREZ</t>
  </si>
  <si>
    <t>ALVAREZ DOMENECH</t>
  </si>
  <si>
    <t>BOIX GONZÁLEZ</t>
  </si>
  <si>
    <t>BARALDÉS MONRÓS</t>
  </si>
  <si>
    <t>AGUILERA MERINO</t>
  </si>
  <si>
    <t>BAREA DHAENE</t>
  </si>
  <si>
    <t>BARROSO DHAENE</t>
  </si>
  <si>
    <t>pass</t>
  </si>
  <si>
    <t>sueldo</t>
  </si>
  <si>
    <t>personalid</t>
  </si>
  <si>
    <t>CargoId</t>
  </si>
  <si>
    <t>sede</t>
  </si>
  <si>
    <t>ID</t>
  </si>
  <si>
    <t>Jefe de Area</t>
  </si>
  <si>
    <t>Jefe de Selección</t>
  </si>
  <si>
    <t>Jefe de RRHH</t>
  </si>
  <si>
    <t>CLI_DIRECCF4:M21ION</t>
  </si>
  <si>
    <t>INSERT INTO APLICANTES VALUES ('AROCAS PASADAS','africa@altecom.es','CALLE ROMA 371 - 375','32115858','5 Años','Universitario','MUCHAS','ESTEFANIA','957417772','ASCENDER','8151','Titulo Universitario','1','4','16');</t>
  </si>
  <si>
    <t>INSERT INTO APLICANTES VALUES ('VISO GILABERT','agata@hotmail.com','AV. PASEO DE LA REPUBLICA 291 INT. 1803','47823588','5 Años','Universitario','MUCHAS','QUERALT','985594212','ASCENDER','7687','Titulo Universitario','2','6','7');</t>
  </si>
  <si>
    <t>INSERT INTO APLICANTES VALUES ('AYALA FERRERAS','curie@minorisa.es','CALLE RAMON RIBEYRO 264 URB. SAN ANTONIO','10925766','12 Años','Universitario','MUCHAS','JOAN','989332112','ASCENDER','4342','Titulo Universitario','3','4','10');</t>
  </si>
  <si>
    <t>INSERT INTO APLICANTES VALUES ('BAEZ TEJADO','albatros@wandoo.es','AV. SANTA CATALINA 529 - LA VICTORIA','39554565','14 Años','Universitario','MUCHAS','JOAN','982913271','ASCENDER','2294','Titulo Universitario','4','8','3');</t>
  </si>
  <si>
    <t>INSERT INTO APLICANTES VALUES ('BASTARDES SOTO','albert@intercom.es','AV. SANTO TORIBIO 143 (6TO. PISO) EDIFICIO STO. TORIBIO','66651992','9 Años','Universitario','MUCHAS','MARC','953290587','ASCENDER','4706','Titulo Universitario','5','10','11');</t>
  </si>
  <si>
    <t>INSERT INTO APLICANTES VALUES ('ANGUERA VILAFRANCA','alien@intercom.es','JR. CARABAYA 560 OF. 04 (2DO. PISO)','11581010','2 Años','Universitario','MUCHAS','JOSEP','948089237','ASCENDER','1351','Titulo Universitario','6','10','14');</t>
  </si>
  <si>
    <t>INSERT INTO APLICANTES VALUES ('PASCUAL ALOY','amores@hotmail.com','JR. CARABAYA 560 OF. 04 (2DO. PISO)','48410763','5 Años','Universitario','MUCHAS','ESTHER','906895973','ASCENDER','7024','Titulo Universitario','7','3','6');</t>
  </si>
  <si>
    <t>INSERT INTO APLICANTES VALUES ('VALLÉS GIRVENT','anabel@altecom.es','CALLE ALCALA 350 - URB. LA CASTELLANA (OVALO HIGUERETA)','44084400','12 Años','Universitario','MUCHAS','LAURA','989564627','ASCENDER','5581','Titulo Universitario','8','1','4');</t>
  </si>
  <si>
    <t>INSERT INTO APLICANTES VALUES ('RAYA GARCIA','antiga@minorisa.es','AV. JAVIER PRADO OESTE 2361','34370353','12 Años','Universitario','MUCHAS','RAQUEL','916491387','ASCENDER','8881','Titulo Universitario','9','2','1');</t>
  </si>
  <si>
    <t>INSERT INTO APLICANTES VALUES ('ANDREU CRUZ','ballador@hotmail.com','AV. RESIDENCIAL SALAVERRY BLOCK 1 DPTO 202','45416063','2 Años','Universitario','MUCHAS','JOAN','972123806','ASCENDER','8365','Titulo Universitario','10','3','11');</t>
  </si>
  <si>
    <t>INSERT INTO APLICANTES VALUES ('BARALDÉS COMAS','balladora@altecom.es','CALLE ANTEQUERA 176 OF. 302','45527631','10 Años','Universitario','MUCHAS','MARIA','928963249','ASCENDER','7780','Titulo Universitario','11','1','7');</t>
  </si>
  <si>
    <t>INSERT INTO APLICANTES VALUES ('BERENGUERAS CULLERÉS','barbilla@hotmail.com','URB. VILLA VICTORIA MZ.I - LT.8 (DEPARTAMENTO 301)','26666632','5 Años','Universitario','MUCHAS','ADRIÀ','954213306','ASCENDER','2601','Titulo Universitario','12','7','11');</t>
  </si>
  <si>
    <t>INSERT INTO APLICANTES VALUES ('GARCIA UCEDA','besugo@minorisa.es','CALLE CORONEL ANDRES REYES NRO. 360 INT. 703 URB. JARDIN','41982570','4 Años','Universitario','MUCHAS','GERARD','985095638','ASCENDER','7355','Titulo Universitario','13','9','12');</t>
  </si>
  <si>
    <t>INSERT INTO APLICANTES VALUES ('ARNAU MORENO','bogart@terra.es','CALLE PAZ SOLDAN 170 OF. 205','37345679','5 Años','Universitario','MUCHAS','ELIOT','936671680','ASCENDER','1513','Titulo Universitario','14','6','5');</t>
  </si>
  <si>
    <t>INSERT INTO APLICANTES VALUES ('RAYA GAVILAN','bond@terra.es','CALLE PAZ SOLDAN 170 OF. 205','73939449','12 Años','Universitario','MUCHAS','JORDI','964513987','ASCENDER','1599','Titulo Universitario','15','8','16');</t>
  </si>
  <si>
    <t>INSERT INTO APLICANTES VALUES ('ZAMBUDIO FIGULS','dalí@wandoo.es','AV. AV. IGNACIO MERINO NRO. 2422 INT. 101','48938133','8 Años','Universitario','MUCHAS','LLUÍS','906609997','ASCENDER','7396','Titulo Universitario','16','4','8');</t>
  </si>
  <si>
    <t>INSERT INTO APLICANTES VALUES ('BIDAULT CULLERÉS','cela@altecom.es','AV. 28 DE JULIO NRO. 1044 DPTO. 601 URB. SAN ANTONIO','27889437','6 Años','Universitario','MUCHAS','LAURA','931268332','ASCENDER','9912','Titulo Universitario','17','6','16');</t>
  </si>
  <si>
    <t>INSERT INTO APLICANTES VALUES ('BIOSCA FONTANET','coco@hotmail.com','CALLE MANUEL ALMENARA #265','21217945','14 Años','Universitario','MUCHAS','JORDI','964005079','ASCENDER','4884','Titulo Universitario','18','9','15');</t>
  </si>
  <si>
    <t>INSERT INTO APLICANTES VALUES ('ZAFRA FIGULS','conejo@minorisa.es','AV. RESIDENCIAL SALAVERRY BLOCK 1 DPTO 202','42712351','7 Años','Universitario','MUCHAS','DOUNYA','920466216','ASCENDER','1398','Titulo Universitario','19','8','5');</t>
  </si>
  <si>
    <t>INSERT INTO APLICANTES VALUES ('ALEU ICART','corcel@altecom.es','CALLE LAS CODORNICES 285','64673201','8 Años','Universitario','MUCHAS','JULIO','925439449','ASCENDER','8486','Titulo Universitario','20','5','4');</t>
  </si>
  <si>
    <t>Nombre_area</t>
  </si>
  <si>
    <t>Intercambio</t>
  </si>
  <si>
    <t>ASISTENCIA</t>
  </si>
  <si>
    <t>FECHA</t>
  </si>
  <si>
    <t>ASISTENCIAID</t>
  </si>
  <si>
    <t>EMPLEADOID</t>
  </si>
  <si>
    <t>ASISTIO</t>
  </si>
  <si>
    <t>FALTO</t>
  </si>
  <si>
    <t>TARDANZA</t>
  </si>
  <si>
    <t>16/08/2020</t>
  </si>
  <si>
    <t>13/02/2020</t>
  </si>
  <si>
    <t>3/05/2020</t>
  </si>
  <si>
    <t>20/11/2020</t>
  </si>
  <si>
    <t>20/05/2021</t>
  </si>
  <si>
    <t>24/07/2020</t>
  </si>
  <si>
    <t>29/03/2020</t>
  </si>
  <si>
    <t>2/02/2020</t>
  </si>
  <si>
    <t>7/09/2020</t>
  </si>
  <si>
    <t>15/11/2020</t>
  </si>
  <si>
    <t>13/08/2021</t>
  </si>
  <si>
    <t>14/04/2020</t>
  </si>
  <si>
    <t>24/08/2020</t>
  </si>
  <si>
    <t>3/04/2021</t>
  </si>
  <si>
    <t>26/06/2020</t>
  </si>
  <si>
    <t>15/10/2021</t>
  </si>
  <si>
    <t>1/03/2021</t>
  </si>
  <si>
    <t>1/05/2020</t>
  </si>
  <si>
    <t>22/05/2020</t>
  </si>
  <si>
    <t>4/03/2020</t>
  </si>
  <si>
    <t>10/04/2020</t>
  </si>
  <si>
    <t>13/09/2020</t>
  </si>
  <si>
    <t>4/05/2021</t>
  </si>
  <si>
    <t>2/07/2021</t>
  </si>
  <si>
    <t>8/10/2021</t>
  </si>
  <si>
    <t>8/07/2021</t>
  </si>
  <si>
    <t>25/01/2021</t>
  </si>
  <si>
    <t>23/03/2021</t>
  </si>
  <si>
    <t>30/03/2020</t>
  </si>
  <si>
    <t>30/07/2021</t>
  </si>
  <si>
    <t>30/05/2020</t>
  </si>
  <si>
    <t>2/04/2020</t>
  </si>
  <si>
    <t>16/06/2020</t>
  </si>
  <si>
    <t>10/05/2020</t>
  </si>
  <si>
    <t>24/12/2021</t>
  </si>
  <si>
    <t>19/08/2021</t>
  </si>
  <si>
    <t>9/06/2020</t>
  </si>
  <si>
    <t>18/12/2020</t>
  </si>
  <si>
    <t>7/12/2021</t>
  </si>
  <si>
    <t>10/03/2021</t>
  </si>
  <si>
    <t>7/09/2021</t>
  </si>
  <si>
    <t>8/04/2021</t>
  </si>
  <si>
    <t>11/01/2021</t>
  </si>
  <si>
    <t>26/09/2020</t>
  </si>
  <si>
    <t>10/01/2021</t>
  </si>
  <si>
    <t>19/12/2020</t>
  </si>
  <si>
    <t>6/08/2021</t>
  </si>
  <si>
    <t>22/05/2021</t>
  </si>
  <si>
    <t>29/10/2020</t>
  </si>
  <si>
    <t>23/04/2020</t>
  </si>
  <si>
    <t>25/12/2020</t>
  </si>
  <si>
    <t>15/11/2021</t>
  </si>
  <si>
    <t>8/04/2020</t>
  </si>
  <si>
    <t>12/07/2020</t>
  </si>
  <si>
    <t>12/08/2021</t>
  </si>
  <si>
    <t>2/08/2021</t>
  </si>
  <si>
    <t>18/05/2021</t>
  </si>
  <si>
    <t>1/03/2020</t>
  </si>
  <si>
    <t>26/06/2021</t>
  </si>
  <si>
    <t>19/01/2020</t>
  </si>
  <si>
    <t>7/04/2021</t>
  </si>
  <si>
    <t>1/01/2020</t>
  </si>
  <si>
    <t>4/12/2020</t>
  </si>
  <si>
    <t>17/10/2021</t>
  </si>
  <si>
    <t>25/03/2021</t>
  </si>
  <si>
    <t>26/01/2021</t>
  </si>
  <si>
    <t>22/08/2021</t>
  </si>
  <si>
    <t>17/03/2020</t>
  </si>
  <si>
    <t>4/06/2020</t>
  </si>
  <si>
    <t>6/07/2021</t>
  </si>
  <si>
    <t>19/08/2020</t>
  </si>
  <si>
    <t>20/08/2021</t>
  </si>
  <si>
    <t>12/10/2021</t>
  </si>
  <si>
    <t>19/03/2021</t>
  </si>
  <si>
    <t>6/04/2020</t>
  </si>
  <si>
    <t>24/06/2020</t>
  </si>
  <si>
    <t>11/03/2020</t>
  </si>
  <si>
    <t>16/12/2021</t>
  </si>
  <si>
    <t>21/05/2020</t>
  </si>
  <si>
    <t>3/04/2020</t>
  </si>
  <si>
    <t>14/10/2020</t>
  </si>
  <si>
    <t>14/06/2020</t>
  </si>
  <si>
    <t>3/01/2021</t>
  </si>
  <si>
    <t>26/08/2021</t>
  </si>
  <si>
    <t>15/01/2021</t>
  </si>
  <si>
    <t>3/06/2020</t>
  </si>
  <si>
    <t>1/02/2021</t>
  </si>
  <si>
    <t>18/07/2021</t>
  </si>
  <si>
    <t>4/06/2021</t>
  </si>
  <si>
    <t>16/01/2021</t>
  </si>
  <si>
    <t>8/03/2020</t>
  </si>
  <si>
    <t>29/09/2020</t>
  </si>
  <si>
    <t>28/06/2021</t>
  </si>
  <si>
    <t>26/07/2020</t>
  </si>
  <si>
    <t>8/01/2020</t>
  </si>
  <si>
    <t>19/07/2020</t>
  </si>
  <si>
    <t>17/08/2021</t>
  </si>
  <si>
    <t>22/03/2021</t>
  </si>
  <si>
    <t>7/06/2020</t>
  </si>
  <si>
    <t>8/11/2020</t>
  </si>
  <si>
    <t>19/03/2020</t>
  </si>
  <si>
    <t>13/10/2021</t>
  </si>
  <si>
    <t>26/03/2020</t>
  </si>
  <si>
    <t>29/11/2021</t>
  </si>
  <si>
    <t>23/09/2021</t>
  </si>
  <si>
    <t>12/06/2021</t>
  </si>
  <si>
    <t>22/02/2021</t>
  </si>
  <si>
    <t>21/07/2021</t>
  </si>
  <si>
    <t>18/10/2021</t>
  </si>
  <si>
    <t>29/07/2020</t>
  </si>
  <si>
    <t>7/07/2020</t>
  </si>
  <si>
    <t>5/02/2021</t>
  </si>
  <si>
    <t>11/07/2020</t>
  </si>
  <si>
    <t>18/04/2020</t>
  </si>
  <si>
    <t>18/02/2020</t>
  </si>
  <si>
    <t>1/07/2020</t>
  </si>
  <si>
    <t>29/08/2021</t>
  </si>
  <si>
    <t>1/07/2021</t>
  </si>
  <si>
    <t>20/12/2020</t>
  </si>
  <si>
    <t>15/07/2021</t>
  </si>
  <si>
    <t>28/09/2020</t>
  </si>
  <si>
    <t>17/12/2020</t>
  </si>
  <si>
    <t>20/07/2021</t>
  </si>
  <si>
    <t>20/06/2021</t>
  </si>
  <si>
    <t>10/10/2020</t>
  </si>
  <si>
    <t>4/12/2021</t>
  </si>
  <si>
    <t>24/05/2021</t>
  </si>
  <si>
    <t>29/05/2021</t>
  </si>
  <si>
    <t>10/10/2021</t>
  </si>
  <si>
    <t>13/12/2021</t>
  </si>
  <si>
    <t>2/04/2021</t>
  </si>
  <si>
    <t>24/03/2020</t>
  </si>
  <si>
    <t>17/04/2020</t>
  </si>
  <si>
    <t>18/04/2021</t>
  </si>
  <si>
    <t>6/05/2020</t>
  </si>
  <si>
    <t>23/11/2021</t>
  </si>
  <si>
    <t>9/11/2021</t>
  </si>
  <si>
    <t>12/09/2020</t>
  </si>
  <si>
    <t>11/10/2021</t>
  </si>
  <si>
    <t>28/10/2020</t>
  </si>
  <si>
    <t>19/04/2020</t>
  </si>
  <si>
    <t>16/02/2020</t>
  </si>
  <si>
    <t>17/07/2020</t>
  </si>
  <si>
    <t>14/08/2021</t>
  </si>
  <si>
    <t>5/11/2020</t>
  </si>
  <si>
    <t>2/03/2021</t>
  </si>
  <si>
    <t>27/04/2021</t>
  </si>
  <si>
    <t>7/11/2021</t>
  </si>
  <si>
    <t>27/03/2021</t>
  </si>
  <si>
    <t>21/02/2020</t>
  </si>
  <si>
    <t>9/08/2021</t>
  </si>
  <si>
    <t>30/05/2021</t>
  </si>
  <si>
    <t>1/01/2021</t>
  </si>
  <si>
    <t>29/02/2020</t>
  </si>
  <si>
    <t>9/03/2021</t>
  </si>
  <si>
    <t>5/10/2021</t>
  </si>
  <si>
    <t>5/04/2021</t>
  </si>
  <si>
    <t>26/08/2020</t>
  </si>
  <si>
    <t>6/09/2020</t>
  </si>
  <si>
    <t>23/12/2021</t>
  </si>
  <si>
    <t>6/10/2021</t>
  </si>
  <si>
    <t>27/11/2020</t>
  </si>
  <si>
    <t>20/10/2020</t>
  </si>
  <si>
    <t>12/02/2020</t>
  </si>
  <si>
    <t>12/02/2021</t>
  </si>
  <si>
    <t>20/09/2021</t>
  </si>
  <si>
    <t>10/02/2020</t>
  </si>
  <si>
    <t>15/05/2021</t>
  </si>
  <si>
    <t>10/02/2021</t>
  </si>
  <si>
    <t>APELLIDO</t>
  </si>
  <si>
    <t>RENDIMIENTOID</t>
  </si>
  <si>
    <t>EMPLEADOS</t>
  </si>
  <si>
    <t>FALTA DE RESPETO</t>
  </si>
  <si>
    <t>OBSERVACION</t>
  </si>
  <si>
    <t>TARDANZAS</t>
  </si>
  <si>
    <t>INCUMPLIMIENTO DE LABORES</t>
  </si>
  <si>
    <t>3/02/2020</t>
  </si>
  <si>
    <t>17/06/2021</t>
  </si>
  <si>
    <t>25/03/2020</t>
  </si>
  <si>
    <t>26/01/2020</t>
  </si>
  <si>
    <t>7/04/2020</t>
  </si>
  <si>
    <t>9/12/2021</t>
  </si>
  <si>
    <t>22/11/2020</t>
  </si>
  <si>
    <t>19/05/2021</t>
  </si>
  <si>
    <t>12/01/2020</t>
  </si>
  <si>
    <t>10/09/2021</t>
  </si>
  <si>
    <t>26/12/2020</t>
  </si>
  <si>
    <t>14/03/2020</t>
  </si>
  <si>
    <t>13/11/2020</t>
  </si>
  <si>
    <t>12/07/2021</t>
  </si>
  <si>
    <t>19/06/2021</t>
  </si>
  <si>
    <t>6/06/2020</t>
  </si>
  <si>
    <t>9/12/2020</t>
  </si>
  <si>
    <t>24/08/2021</t>
  </si>
  <si>
    <t>12/12/2020</t>
  </si>
  <si>
    <t>18/03/2020</t>
  </si>
  <si>
    <t>17/08/2020</t>
  </si>
  <si>
    <t>24/07/2021</t>
  </si>
  <si>
    <t>3/10/2021</t>
  </si>
  <si>
    <t>19/05/2020</t>
  </si>
  <si>
    <t>28/11/2021</t>
  </si>
  <si>
    <t>22/09/2021</t>
  </si>
  <si>
    <t>13/02/2021</t>
  </si>
  <si>
    <t>30/04/2020</t>
  </si>
  <si>
    <t>3/11/2021</t>
  </si>
  <si>
    <t>27/08/2021</t>
  </si>
  <si>
    <t>10/12/2021</t>
  </si>
  <si>
    <t>6/10/2020</t>
  </si>
  <si>
    <t>3/08/2021</t>
  </si>
  <si>
    <t>27/06/2021</t>
  </si>
  <si>
    <t>17/09/2021</t>
  </si>
  <si>
    <t>11/07/2021</t>
  </si>
  <si>
    <t>2/09/2020</t>
  </si>
  <si>
    <t>17/04/2021</t>
  </si>
  <si>
    <t>C FALTAS</t>
  </si>
  <si>
    <t>C H CUMP</t>
  </si>
  <si>
    <t>C OBJ</t>
  </si>
  <si>
    <t>C OBS</t>
  </si>
  <si>
    <t>OP EMPL</t>
  </si>
  <si>
    <t>REDIMIENTO OD</t>
  </si>
  <si>
    <t>ME PARECE BIEN</t>
  </si>
  <si>
    <t>ME PARECE MAL</t>
  </si>
  <si>
    <t>ME PARECE INJUSTO</t>
  </si>
  <si>
    <t>NO OPINO</t>
  </si>
  <si>
    <t>Rendimiento</t>
  </si>
  <si>
    <t>INSERT INTO Empleado VALUES ('LOYOLA BOHORQUEZ','africa@altecom.es','Av. Gonzalo Ugás N° 29','85121434','KARLA','995437','7407','4923','1','15','59','8');</t>
  </si>
  <si>
    <t>INSERT INTO Empleado VALUES ('DIAS MUÑOZ','agata@hotmail.com','Lt. 3 Mz. B-1, Urb. Parque Industrial','80055043','JOSE','286374','9967','2740','2','16','22','1');</t>
  </si>
  <si>
    <t>INSERT INTO Empleado VALUES ('SIFUENTES CABANILLAS','albatros@wandoo.es','Av.Julian Arce Larreta Mz 27 L 27 Victor Raul Haya De La Tor','73640961','LUZ','558411','8631','1069','3','7','86','1');</t>
  </si>
  <si>
    <t>INSERT INTO Empleado VALUES ('FIGUEROA JIMENEZ','maeillanes@hotmail.com','Av.San Pablo 123','36051370','LAYEVSKA','242286','9042','5282','4','5','66','5');</t>
  </si>
  <si>
    <t>INSERT INTO Empleado VALUES ('DIAZ DIAZ','maeillanes@hotmail.com','Urb San Jose de California','93856932','JOYZI','245802','1348','3979','5','1','89','3');</t>
  </si>
  <si>
    <t>INSERT INTO Empleado VALUES ('RODRIGUEZ MEDINA','osabarca@hotmail.com','Av Mansiche 345','32755666','GABRIELA','705408','4627','4828','6','15','1','5');</t>
  </si>
  <si>
    <t>INSERT INTO Empleado VALUES ('SERNAQUE SILVA','jhonatan@corporation.ven','Av. Larco 1770, Trujillo 13001','83610998','JHONATAN','634904','1503','5021','7','13','35','6');</t>
  </si>
  <si>
    <t>INSERT INTO Empleado VALUES ('MORALES GONZALES','Sb.nashxo.sk8@hotmail.com','Urb El Bosque 947','10805677','LUIS','872743','9313','4637','8','4','22','2');</t>
  </si>
  <si>
    <t>INSERT INTO Empleado VALUES ('ALCANTARA PEREZ','fran.afull@live.cl','Urb La Noria 126','92168712','GABRIEL','477468','7112','6574','9','5','70','7');</t>
  </si>
  <si>
    <t>INSERT INTO Empleado VALUES ('MERINO GUTIERRES','carlosaguileram@hotmail.com','Psj Monaco 187','30202662','NICOLAS','379079','7998','7794','10','18','62','1');</t>
  </si>
  <si>
    <t>INSERT INTO Empleado VALUES ('CABALLERO DIAS','ikis_rojo@hotmail.com','A1 lote 01,, Sta. Teresa de Jesús, Distrito de Víctor Larco Herrera','53731031','EMILIA','322049','6759','3059','11','15','35','8');</t>
  </si>
  <si>
    <t>INSERT INTO Empleado VALUES ('PINEDA RISCO','vizkala@hotmail.com','Av. Juan Pablo II, Trujillo 13011','55259267','SEBASTIAN','755293','1324','7709','12','8','26','5');</t>
  </si>
  <si>
    <t>INSERT INTO Empleado VALUES ('CRUZ LAZARO','alexus3@hotmail.com','1N, Distrito de Víctor Larco Herrera 13009, Trujillo 13001','61619997','ANDREA','909496','5216','5473','13','18','33','7');</t>
  </si>
  <si>
    <t>INSERT INTO Empleado VALUES ('GAVIDIA RISCO','capitanaguilera@hotmail.com','Las Capullanas 273, Distrito de Víctor Larco Herrera 13009','80045257','DANIELA','177912','6679','8229','14','1','80','3');</t>
  </si>
  <si>
    <t>INSERT INTO Empleado VALUES ('RIOS GARCIA','apalamosg@hotmail.com','Av. Primavera 43, Distrito de Víctor Larco Herrera 13008','55694321','MATIAS','376076','6474','6081','15','5','88','10');</t>
  </si>
  <si>
    <t>INSERT INTO Empleado VALUES ('AVILA MASJUAN','cangur@intercom.es','SECTOR 8 GRUPO 1 MZ. C LT. 12','78550188','Fuego','237562','4119','6705','16','5','89','5');</t>
  </si>
  <si>
    <t>INSERT INTO Empleado VALUES ('PARRAMON FLORES','caparranas@altecom.es','CALLE LUIS GALVANI 234 URB. IND. SANTA ROSA','76110831','Galgo','209963','6586','6582','17','14','73','2');</t>
  </si>
  <si>
    <t>INSERT INTO Empleado VALUES ('AGUILAR RAMOS','carretero@intercom.es','CALLE JOSE CARLOS MARIATEGUI MZA. G LOTE. 21 URB. URB. AEROPUERTO 2DO SECT','22034483','Garota','426936','5902','8471','18','3','81','10');</t>
  </si>
  <si>
    <t>INSERT INTO Empleado VALUES ('AYALA ALSINA','cela@altecom.es','PLAZA BL. G NRO. 3 DPTO. 301 URB. MANZANILLA','60546959','gata','510810','9102','7078','19','12','4','1');</t>
  </si>
  <si>
    <t>INSERT INTO Empleado VALUES ('ALVAREZ TROYANO','coco@hotmail.com','SECTOR 8 GRUPO 1 MZ. C LT. 12','33083329','Gateta','148881','1802','8561','20','17','1','9');</t>
  </si>
  <si>
    <t>INSERT INTO Empleado VALUES ('ALINS GONZÁLEZ','conejo@minorisa.es','AV. JOAQUIN CAPELLO 366 DPTO 405 UIRB. SANTA CRUZ','49031927','Gioconda','515531','1211','1088','21','11','66','7');</t>
  </si>
  <si>
    <t>INSERT INTO Empleado VALUES ('ACUÑA TORT','corcel@altecom.es','JR. FRANCIA Nº 1813 LA VICTORIA','50825832','Groucho','353709','4413','8040','22','18','78','1');</t>
  </si>
  <si>
    <t>INSERT INTO Empleado VALUES ('ALGUÉ TRANCHO','curie@minorisa.es','AV. MARISCAL ELOY URETA 316 URB. EL PINO','89328386','Harpo','154988','2196','7644','23','3','28','2');</t>
  </si>
  <si>
    <t>INSERT INTO Empleado VALUES ('BADIA CASTILLO','dalí@wandoo.es','JR. RIO TUMBES 215 URB. LAS MORAS','47913749','Hispa','582607','6338','1042','24','15','38','6');</t>
  </si>
  <si>
    <t>INSERT INTO Empleado VALUES ('BENITEZ FLORES','dolça@cidet.com','CALLE ENRIQUE BARRON 280 URB.TEJADA','79497844','Hojalatero','349023','1773','5877','25','13','10','9');</t>
  </si>
  <si>
    <t>INSERT INTO Empleado VALUES ('TORRUELLA GARCIA','dorada@intercom.es','AV. AV. JAVIER PRADO OESTE NRO. 2367 DPTO. 202','39751364','Huevo','379224','5259','4119','26','7','87','8');</t>
  </si>
  <si>
    <t>INSERT INTO Empleado VALUES ('ALBERICH RODRIGUEZ','elisa@altecom.es','PSJE. SEÑOR DE LOS MILAGROS 103 MERCADO PRODUCTORES','69883554','James Dean','325579','3448','6248','27','13','82','10');</t>
  </si>
  <si>
    <t>INSERT INTO Empleado VALUES ('ARMENCOT PUIG','encarna@hotmail.com','CALLE 54 NRO 109 INT. 205 URB. CORPAC','95866036','Jéssica','331993','3295','3748','28','5','53','6');</t>
  </si>
  <si>
    <t>INSERT INTO Empleado VALUES ('ALIGUÉ RIVERA','entesa@altecom.es','PSJE. SEÑOR DE LOS MILAGROS 103 MERCADO PRODUCTORES','96586384','Julia','538801','8853','4405','29','4','21','9');</t>
  </si>
  <si>
    <t>INSERT INTO Empleado VALUES ('BARRIGA RIU','et@altecom.es','MZ. O LT 11 SECTOR C3 PROYECTO.PILOTO PACHACUTEC','71866145','Julio','897730','2332','8249','30','10','32','7');</t>
  </si>
  <si>
    <t>INSERT INTO Empleado VALUES ('PORTELLA GISPETS','experta@wandoo.es','JR. RIO TUMBES 215 URB. LAS MORAS','97625336','Lali','316396','9098','3007','31','15','20','5');</t>
  </si>
  <si>
    <t>INSERT INTO Empleado VALUES ('AGUILERA BAENA','f5@wandoo.es','CALLE MANUEL UGARTECHE MZ Z 2 LT. 24 URB. GRUMETE MEDINA','63132408','libero','561502','4781','2197','32','11','33','7');</t>
  </si>
  <si>
    <t>INSERT INTO Empleado VALUES ('RODRIGUEZ GARCÍA','fina@hotmail.com','AV. JAVIER PRADO ESTE 560 INT. 1502 (A LADO DE 566)','98352664','Llus','895256','1517','4931','33','11','95','2');</t>
  </si>
  <si>
    <t>INSERT INTO Empleado VALUES ('AGUILAR SUNYÉ','fuego@altecom.es','AV. JAVIER PRADO ESTE 560 INT. 1502 (A LADO DE 566)','55208044','Loli','747984','6375','1950','34','13','45','4');</t>
  </si>
  <si>
    <t>INSERT INTO Empleado VALUES ('BARRIGA TARDÀ','garota@hotmail.com','CALLE EL HABITO 921 - URB. CANTO GRANDE','83713773','Madonna','627930','1043','3880','35','14','80','7');</t>
  </si>
  <si>
    <t>INSERT INTO Empleado VALUES ('BARCONS LARA','gateta@cataloniamail.com','JR. LAS PERLAS 1882 2DO PISO','62613769','Mata Hari','824660','8428','8797','36','13','94','6');</t>
  </si>
  <si>
    <t>INSERT INTO Empleado VALUES ('AGUILERA TATJÉ','groucho@intercom.es','CALLE COMANDANTE JIMENEZ 150','99286961','Melanie','323873','7060','3098','37','13','64','10');</t>
  </si>
  <si>
    <t>INSERT INTO Empleado VALUES ('ALEU PRAT','harpo@hotmail.com','AV. REYNALDO SAAVEDRA PINON 2627 URB. ELIO','50325793','Melquíades','552791','4038','5617','38','6','59','10');</t>
  </si>
  <si>
    <t>INSERT INTO Empleado VALUES ('VALLÉS GIRVENT','hispa@cataloniamail.com','AV. MARISCAL ELOY URETA 316 URB. EL PINO','62252478','Merche','320768','1123','5513','39','15','26','3');</t>
  </si>
  <si>
    <t>INSERT INTO Empleado VALUES ('MOLINA GARRIDO','huevo@terra.es','CALLE COMANDANTE JIMENEZ 150','85129523','Midas','886035','2143','7754','40','14','85','7');</t>
  </si>
  <si>
    <t>INSERT INTO Empleado VALUES ('ARISSA HERMOSO','james dean@intercom.es','JR. FRANCIA Nº 1813 LA VICTORIA','10524690','Mona lisa','768324','1011','2448','41','11','9','3');</t>
  </si>
  <si>
    <t>INSERT INTO Empleado VALUES ('BARALDÉS PARDO','jéssica@hotmail.com','CALLE COMANDANTE JIMENEZ 150','87318682','Moro','344042','1948','6143','42','10','17','2');</t>
  </si>
  <si>
    <t>INSERT INTO Empleado VALUES ('SUAREZ GARZÓN','llus@hotmail.com','SECTOR 8 GRUPO 1 MZ. C LT. 12','45823169','Mozart','249384','4610','8171','43','3','61','6');</t>
  </si>
  <si>
    <t>INSERT INTO Empleado VALUES ('ARPA MORENO','madonna@wandoo.es','CALLE EL HABITO 921 - URB. CANTO GRANDE','76573354','Nadadora','780772','2476','2693','44','17','86','2');</t>
  </si>
  <si>
    <t>INSERT INTO Empleado VALUES ('ALOY FARRANDO','mata hari@intercom.es','CALLE COMANDANTE JIMENEZ 150','65772778','Nalga','438080','5022','8709','45','16','77','1');</t>
  </si>
  <si>
    <t>INSERT INTO Empleado VALUES ('LUQUE GARRIGASAIT','melanie@minorisa.es','JR. FRANCIA Nº 1813 LA VICTORIA','76792913','Napoleon','346042','1574','1883','46','14','42','4');</t>
  </si>
  <si>
    <t>INSERT INTO Empleado VALUES ('RIDÓ GÓMEZ','melquíades@hotmail.com','JR. JR. BELAUNDE OESTE 198 URB. HUAQUILLAY','99492736','Orondo','602783','2191','2393','47','16','11','4');</t>
  </si>
  <si>
    <t>INSERT INTO Empleado VALUES ('SANTAMARIA FLOTATS','merche@terra.es','JR. RIO TUMBES 215 URB. LAS MORAS','28341008','Papagayo','499371','1724','5144','48','16','83','4');</t>
  </si>
  <si>
    <t>INSERT INTO Empleado VALUES ('HERMS GÓMEZ','midas@cataloniamail.com','CALLE COMANDANTE JIMENEZ 150','95943331','Paseante','814268','3132','6629','49','4','73','8');</t>
  </si>
  <si>
    <t>INSERT INTO Empleado VALUES ('ARTIGAS MATURANO','mona lisa@minorisa.es','JR. RIO TUMBES 215 URB. LAS MORAS','63445571','Pasión','777961','5463','8338','50','12','41','2');</t>
  </si>
  <si>
    <t>INSERT INTO Empleado VALUES ('AGUILAR MASANA','moro@minorisa.es','CALLE SEBASTIAN SALAZAR BONDY NRO. 151 URB. JACARANDA MAGDALENA DEL MAR','67429400','Pato','777150','2142','6588','51','14','61','3');</t>
  </si>
  <si>
    <t>INSERT INTO Empleado VALUES ('ALTIMIRAS SERAROLS','mozart@wandoo.es','AV. JOSE PARDO 434 DPTO. 405','32134948','Pelusa','299799','6581','8366','52','2','92','10');</t>
  </si>
  <si>
    <t>INSERT INTO Empleado VALUES ('TORRESCASANA GARCIA','napoleon@cidet.com','CALLE PALCA NRO. 172 INT. 201 (EDIFICIO CHINCHA 2DO PISO) LIMA - LIMA - LIMA','89249209','Perla','322948','7720','5959','53','17','36','10');</t>
  </si>
  <si>
    <t>INSERT INTO Empleado VALUES ('ARIZA PUIGBÓ','orondo@altecom.es','AV. SAN BORJA NORTE 421 DPTO 201','86937608','Picasso','689107','9971','7231','54','6','72','10');</t>
  </si>
  <si>
    <t>INSERT INTO Empleado VALUES ('ALVAREZ ARMENTEROS','papagayo@altecom.es','CALLE ROMA 371 - 375','29458103','poma','425759','5567','6575','55','1','83','3');</t>
  </si>
  <si>
    <t>INSERT INTO Empleado VALUES ('BARALDÉS TARRAGÓ','pasión@altecom.es','AV. PASEO DE LA REPUBLICA 291 INT. 1803','44651637','Psicosis','522092','5468','4435','56','14','63','5');</t>
  </si>
  <si>
    <t>INSERT INTO Empleado VALUES ('GARCIA GARCÍA','pelusa@hotmail.com','CALLE RAMON RIBEYRO 264 URB. SAN ANTONIO','54054596','Quince centimos','969650','8362','6870','57','3','12','8');</t>
  </si>
  <si>
    <t>INSERT INTO Empleado VALUES ('AROCA GÓMEZ','perla@cataloniamail.com','AV. SANTA CATALINA 529 - LA VICTORIA','34168098','Rebeca','919117','3836','6260','58','2','79','8');</t>
  </si>
  <si>
    <t>INSERT INTO Empleado VALUES ('ALONSO RODRIGUEZ','psicosis@intercom.es','AV. SANTO TORIBIO 143 (6TO. PISO) EDIFICIO STO. TORIBIO','16828628','Rebelde','779308','9366','1403','59','13','71','5');</t>
  </si>
  <si>
    <t>INSERT INTO Empleado VALUES ('CANO GÓMEZ','rebeca@cataloniamail.com','JR. CARABAYA 560 OF. 04 (2DO. PISO)','65163442','Recio','714193','5897','5434','60','11','76','5');</t>
  </si>
  <si>
    <t>INSERT INTO Empleado VALUES ('ALCAIDE MOLINA','rebelde@intercom.es','JR. CARABAYA 560 OF. 04 (2DO. PISO)','62452011','Recital','663337','3546','4765','61','16','100','8');</t>
  </si>
  <si>
    <t>INSERT INTO Empleado VALUES ('AGUILERA PRAT','rene@intercom.es','CALLE ALCALA 350 - URB. LA CASTELLANA (OVALO HIGUERETA)','59980784','Rene','757138','9649','7467','62','12','84','5');</t>
  </si>
  <si>
    <t>INSERT INTO Empleado VALUES ('ALAPONT ICART','rica@terra.es','AV. JAVIER PRADO OESTE 2361','48441539','Repicó','860949','1654','6850','63','18','6','2');</t>
  </si>
  <si>
    <t>INSERT INTO Empleado VALUES ('RIVERO FLORIDO','rockera@terra.es','AV. RESIDENCIAL SALAVERRY BLOCK 1 DPTO 202','63171761','Rica','784801','6412','2848','64','1','90','1');</t>
  </si>
  <si>
    <t>INSERT INTO Empleado VALUES ('AVILA MASJUAN','roman@wandoo.es','CALLE ANTEQUERA 176 OF. 302','26653143','Rockera','658741','8859','7941','65','13','32','1');</t>
  </si>
  <si>
    <t>INSERT INTO Empleado VALUES ('GRANADOS ANDRÉS','romeo@intercom.es','URB. VILLA VICTORIA MZ.I - LT.8 (DEPARTAMENTO 301)','80309353','Roma','306643','4573','5036','66','18','68','10');</t>
  </si>
  <si>
    <t>INSERT INTO Empleado VALUES ('FERRER GASSET','ronc@cataloniamail.com','CALLE CORONEL ANDRES REYES NRO. 360 INT. 703 URB. JARDIN','67286123','Roman','114839','8993','1293','67','12','74','5');</t>
  </si>
  <si>
    <t>INSERT INTO Empleado VALUES ('AMIGO MODREGO','sabrosa@hotmail.com','CALLE PAZ SOLDAN 170 OF. 205','82846073','Romario','587773','5354','2236','68','17','22','7');</t>
  </si>
  <si>
    <t>INSERT INTO Empleado VALUES ('ABDIN TATJÈ','salsa@cataloniamail.com','CALLE PAZ SOLDAN 170 OF. 205','49477886','Romeo','514216','4615','1048','69','16','30','9');</t>
  </si>
  <si>
    <t>INSERT INTO Empleado VALUES ('CANELLAS GOMEZ','sincer@altecom.es','AV. AV. IGNACIO MERINO NRO. 2422 INT. 101','15068401','Romesco','965510','1654','2854','70','9','16','7');</t>
  </si>
  <si>
    <t>INSERT INTO Empleado VALUES ('HIDALGO ALTIMIRAS','sincera@hotmail.com','AV. 28 DE JULIO NRO. 1044 DPTO. 601 URB. SAN ANTONIO','10627298','RONC','235566','3689','5740','71','3','18','7');</t>
  </si>
  <si>
    <t>INSERT INTO Empleado VALUES ('BASTARDAS FRANCH','suau@hotmail.com','CALLE MANUEL ALMENARA #265','20334156','Sabrosa','713254','2060','7438','72','3','74','6');</t>
  </si>
  <si>
    <t>INSERT INTO Empleado VALUES ('ABADIAS MASANA','superman@altecom.es','AV. RESIDENCIAL SALAVERRY BLOCK 1 DPTO 202','13591448','Salsa','467551','6054','1490','73','4','93','4');</t>
  </si>
  <si>
    <t>INSERT INTO Empleado VALUES ('AREVALO SANCHEZ','superwoman@wandoo.es','CALLE LAS CODORNICES 285','58627429','sandra','638684','4099','7841','74','7','45','7');</t>
  </si>
  <si>
    <t>INSERT INTO Empleado VALUES ('ALINS MULET','tablon@hotmail.com','AV. PARQUE NORTE 1160 OFC. 402 - RES. CENTRO EMP PARQUE NORTE','83448841','Sha','700874','1571','6990','75','6','86','3');</t>
  </si>
  <si>
    <t>INSERT INTO Empleado VALUES ('GARCIA GONZÁLEZ','tendre@terra.es','JR. JORGE CHAVEZ 150','76181462','Sincer','276780','8083','1780','76','12','72','6');</t>
  </si>
  <si>
    <t>INSERT INTO Empleado VALUES ('ALVAREZ PARCERISA','teta@intercom.es','AV. PEDRO DE OSMA 402','52815865','Sincera','741276','7281','2505','77','11','97','6');</t>
  </si>
  <si>
    <t>INSERT INTO Empleado VALUES ('CASAS ANDRÉS','tomasa@hotmail.com','AV. PABLO BERMUDEZ NRO. 254 E','29200542','suau','386629','4595','8553','78','1','31','2');</t>
  </si>
  <si>
    <t>INSERT INTO Empleado VALUES ('MORALES GESE','tremenda@altecom.es','CALLE DEAN VALDIVIA 148 PISO 11 OF. REGUS','64680253','Superman','535437','5318','5743','79','15','7','5');</t>
  </si>
  <si>
    <t>INSERT INTO Empleado VALUES ('BARALDÉS MARTORELL','tripa@intercom.es','AV. 28 DE JULIO NRO. 1044 DPTO. 601 URB. SAN ANTONIO','17178612','Superwoman','148304','6888','6534','80','2','3','7');</t>
  </si>
  <si>
    <t>INSERT INTO Empleado VALUES ('AROCA GÓMEZ','verruga@hotmail.com','PSJE. SUCRE 177','63948401','Tablon','702631','8962','3702','81','10','76','9');</t>
  </si>
  <si>
    <t>INSERT INTO Empleado VALUES ('RUEDA ALVAREZ','ronc@cataloniamail.com','AV. TOMAS MARSANO 1790 DPTO. 201','23113739','tendre','662410','1637','4443','82','14','100','4');</t>
  </si>
  <si>
    <t>INSERT INTO Empleado VALUES ('ALVAREZ DOMENECH','sabrosa@hotmail.com','CALLE ARCE #139 DPTO 604','95329007','Teta','355778','5812','7775','83','2','19','10');</t>
  </si>
  <si>
    <t>INSERT INTO Empleado VALUES ('BOIX GONZÁLEZ','salsa@cataloniamail.com','AV. JAVIER PADO OESTE 203','15806181','Tomasa','785405','9259','8283','84','13','84','10');</t>
  </si>
  <si>
    <t>INSERT INTO Empleado VALUES ('BARALDÉS MONRÓS','sincer@altecom.es','CALLE INDEPENDENCIA 663 URB. MIRAFLORES','32348557','Tranquil','523597','4782','1496','85','10','60','7');</t>
  </si>
  <si>
    <t>INSERT INTO Empleado VALUES ('AGUILERA MERINO','sincera@hotmail.com','CALLE JOSE TORIBIO POLO 327 INT 709 URB. SANTA CRUZ','18767350','Tremenda','553887','3542','6583','86','6','66','4');</t>
  </si>
  <si>
    <t>INSERT INTO Empleado VALUES ('BAREA DHAENE','suau@hotmail.com','AV. SALAVERRY 674 DPTO. 501','93395577','Tripa','734804','2819','5130','87','1','11','4');</t>
  </si>
  <si>
    <t>INSERT INTO Empleado VALUES ('BARROSO DHAENE','tablon@hotmail.com','AV. JAVIER PRADO ESTE 560 OFC 2302 , PISO 23','82991269','Verruga','109922','3855','6084','88','16','24','8');</t>
  </si>
  <si>
    <t>INSERT INTO AREA VALUES ('ANESTESIOLOGÍA','1','7');</t>
  </si>
  <si>
    <t>INSERT INTO AREA VALUES ('CARDIOLOGÍA','2','16');</t>
  </si>
  <si>
    <t>INSERT INTO AREA VALUES ('CUIDADOS INTENSIVOS','3','1');</t>
  </si>
  <si>
    <t>INSERT INTO AREA VALUES ('DIGESTIVO','4','14');</t>
  </si>
  <si>
    <t>INSERT INTO AREA VALUES ('HEMATOLOGÍA','5','6');</t>
  </si>
  <si>
    <t>INSERT INTO AREA VALUES ('MEDICINA INTERNA','6','2');</t>
  </si>
  <si>
    <t>INSERT INTO AREA VALUES ('NEFROLOGÍA','7','4');</t>
  </si>
  <si>
    <t>INSERT INTO AREA VALUES ('NEUMOLOGÍA','8','13');</t>
  </si>
  <si>
    <t>INSERT INTO AREA VALUES ('ONCOLOGÍA','9','8');</t>
  </si>
  <si>
    <t>INSERT INTO AREA VALUES ('PEDIATRÍA/NEONATOLOGÍA','10','14');</t>
  </si>
  <si>
    <t>INSERT INTO AREA VALUES ('REHABILITACIÓN','11','8');</t>
  </si>
  <si>
    <t>INSERT INTO AREA VALUES ('URGENCIAS','12','11');</t>
  </si>
  <si>
    <t>INSERT INTO AREA VALUES ('CIRUGÍA GENERAL Y DIGESTIVA','13','14');</t>
  </si>
  <si>
    <t>INSERT INTO AREA VALUES ('CIRUGÍA ORTOPÉDICA Y TRAUMATOLOGÍA','14','14');</t>
  </si>
  <si>
    <t>INSERT INTO AREA VALUES ('DERMATOLOGÍA','15','18');</t>
  </si>
  <si>
    <t>INSERT INTO AREA VALUES ('GINECOLOGÍA Y OBSTETRICIA','16','17');</t>
  </si>
  <si>
    <t>INSERT INTO AREA VALUES ('OFTALMOLOGÍA','17','18');</t>
  </si>
  <si>
    <t>INSERT INTO AREA VALUES ('OTORRINOLARIONGOLOGÍA','18','9');</t>
  </si>
  <si>
    <t>INSERT INTO AREA VALUES ('UROLOGÍA','19','6');</t>
  </si>
  <si>
    <t>INSERT INTO AREA VALUES ('LABORATORIOS CLÍNICOS','20','16');</t>
  </si>
  <si>
    <t>INSERT INTO AREA VALUES ('RADIODIAGNÓSTICO','21','18');</t>
  </si>
  <si>
    <t>INSERT INTO AREA VALUES ('FARMACIA','22','9');</t>
  </si>
  <si>
    <t>INSERT INTO AREA VALUES ('MEDICINA PREVENTIVA','23','17');</t>
  </si>
  <si>
    <t>INSERT INTO AplicantesRequerimiento VALUES ('1','6');</t>
  </si>
  <si>
    <t>INSERT INTO AplicantesRequerimiento VALUES ('2','6');</t>
  </si>
  <si>
    <t>INSERT INTO AplicantesRequerimiento VALUES ('3','6');</t>
  </si>
  <si>
    <t>INSERT INTO AplicantesRequerimiento VALUES ('4','6');</t>
  </si>
  <si>
    <t>INSERT INTO AplicantesRequerimiento VALUES ('5','4');</t>
  </si>
  <si>
    <t>INSERT INTO AplicantesRequerimiento VALUES ('6','5');</t>
  </si>
  <si>
    <t>INSERT INTO Rendimiento VALUES ('1','188','20','4','ME PARECE INJUSTO','1');</t>
  </si>
  <si>
    <t>INSERT INTO Rendimiento VALUES ('1','206','19','5','NO OPINO','2');</t>
  </si>
  <si>
    <t>INSERT INTO Rendimiento VALUES ('2','216','13','9','NO OPINO','3');</t>
  </si>
  <si>
    <t>INSERT INTO Rendimiento VALUES ('0','192','19','9','NO OPINO','4');</t>
  </si>
  <si>
    <t>INSERT INTO Rendimiento VALUES ('8','186','10','0','NO OPINO','5');</t>
  </si>
  <si>
    <t>INSERT INTO Rendimiento VALUES ('5','190','13','1','ME PARECE MAL','6');</t>
  </si>
  <si>
    <t>INSERT INTO Rendimiento VALUES ('5','199','16','6','NO OPINO','7');</t>
  </si>
  <si>
    <t>INSERT INTO Rendimiento VALUES ('6','180','7','6','ME PARECE MAL','8');</t>
  </si>
  <si>
    <t>INSERT INTO Rendimiento VALUES ('2','212','10','10','ME PARECE BIEN','9');</t>
  </si>
  <si>
    <t>INSERT INTO Rendimiento VALUES ('7','247','6','3','ME PARECE INJUSTO','10');</t>
  </si>
  <si>
    <t>INSERT INTO Rendimiento VALUES ('6','240','8','9','ME PARECE MAL','11');</t>
  </si>
  <si>
    <t>INSERT INTO Rendimiento VALUES ('6','227','19','7','ME PARECE BIEN','12');</t>
  </si>
  <si>
    <t>INSERT INTO Rendimiento VALUES ('1','208','8','8','ME PARECE INJUSTO','13');</t>
  </si>
  <si>
    <t>INSERT INTO Rendimiento VALUES ('7','223','13','1','ME PARECE INJUSTO','14');</t>
  </si>
  <si>
    <t>INSERT INTO Rendimiento VALUES ('0','241','9','8','ME PARECE BIEN','15');</t>
  </si>
  <si>
    <t>INSERT INTO Rendimiento VALUES ('6','249','5','5','ME PARECE BIEN','16');</t>
  </si>
  <si>
    <t>INSERT INTO Rendimiento VALUES ('2','229','7','6','ME PARECE MAL','17');</t>
  </si>
  <si>
    <t>INSERT INTO Rendimiento VALUES ('3','193','15','0','ME PARECE MAL','18');</t>
  </si>
  <si>
    <t>INSERT INTO Rendimiento VALUES ('8','238','13','3','ME PARECE BIEN','19');</t>
  </si>
  <si>
    <t>INSERT INTO Rendimiento VALUES ('6','254','13','10','ME PARECE INJUSTO','20');</t>
  </si>
  <si>
    <t>INSERT INTO Rendimiento VALUES ('5','249','11','3','ME PARECE MAL','21');</t>
  </si>
  <si>
    <t>INSERT INTO Rendimiento VALUES ('4','227','16','8','ME PARECE MAL','22');</t>
  </si>
  <si>
    <t>INSERT INTO Rendimiento VALUES ('9','247','8','8','ME PARECE INJUSTO','23');</t>
  </si>
  <si>
    <t>INSERT INTO Rendimiento VALUES ('3','247','6','8','ME PARECE INJUSTO','24');</t>
  </si>
  <si>
    <t>INSERT INTO Rendimiento VALUES ('6','194','14','5','NO OPINO','25');</t>
  </si>
  <si>
    <t>INSERT INTO Rendimiento VALUES ('2','239','19','10','ME PARECE MAL','26');</t>
  </si>
  <si>
    <t>INSERT INTO Rendimiento VALUES ('5','213','18','3','ME PARECE BIEN','27');</t>
  </si>
  <si>
    <t>INSERT INTO Rendimiento VALUES ('3','196','12','10','ME PARECE MAL','28');</t>
  </si>
  <si>
    <t>INSERT INTO Rendimiento VALUES ('7','204','6','7','ME PARECE MAL','29');</t>
  </si>
  <si>
    <t>INSERT INTO Rendimiento VALUES ('9','199','17','3','NO OPINO','30');</t>
  </si>
  <si>
    <t>INSERT INTO Rendimiento VALUES ('4','194','14','1','ME PARECE MAL','31');</t>
  </si>
  <si>
    <t>INSERT INTO Rendimiento VALUES ('10','232','9','2','ME PARECE INJUSTO','32');</t>
  </si>
  <si>
    <t>INSERT INTO Rendimiento VALUES ('2','217','5','8','ME PARECE INJUSTO','33');</t>
  </si>
  <si>
    <t>INSERT INTO Rendimiento VALUES ('1','251','11','6','ME PARECE INJUSTO','34');</t>
  </si>
  <si>
    <t>INSERT INTO Rendimiento VALUES ('7','249','19','5','ME PARECE INJUSTO','35');</t>
  </si>
  <si>
    <t>INSERT INTO Rendimiento VALUES ('5','227','14','7','ME PARECE INJUSTO','36');</t>
  </si>
  <si>
    <t>INSERT INTO Rendimiento VALUES ('5','233','7','2','ME PARECE BIEN','37');</t>
  </si>
  <si>
    <t>INSERT INTO Rendimiento VALUES ('2','195','6','8','NO OPINO','38');</t>
  </si>
  <si>
    <t>INSERT INTO Rendimiento VALUES ('2','211','8','1','ME PARECE MAL','39');</t>
  </si>
  <si>
    <t>INSERT INTO Rendimiento VALUES ('3','182','7','4','NO OPINO','40');</t>
  </si>
  <si>
    <t>INSERT INTO Rendimiento VALUES ('9','252','19','1','NO OPINO','41');</t>
  </si>
  <si>
    <t>INSERT INTO Rendimiento VALUES ('2','184','20','3','ME PARECE MAL','42');</t>
  </si>
  <si>
    <t>INSERT INTO Rendimiento VALUES ('1','229','13','10','ME PARECE BIEN','43');</t>
  </si>
  <si>
    <t>INSERT INTO Rendimiento VALUES ('10','220','7','2','ME PARECE MAL','44');</t>
  </si>
  <si>
    <t>INSERT INTO Rendimiento VALUES ('5','210','13','0','ME PARECE INJUSTO','45');</t>
  </si>
  <si>
    <t>INSERT INTO Rendimiento VALUES ('1','187','7','1','ME PARECE MAL','46');</t>
  </si>
  <si>
    <t>INSERT INTO Rendimiento VALUES ('8','256','16','0','ME PARECE BIEN','47');</t>
  </si>
  <si>
    <t>INSERT INTO Rendimiento VALUES ('6','257','15','7','ME PARECE BIEN','48');</t>
  </si>
  <si>
    <t>INSERT INTO Rendimiento VALUES ('2','257','18','8','ME PARECE BIEN','49');</t>
  </si>
  <si>
    <t>INSERT INTO Rendimiento VALUES ('1','223','7','8','ME PARECE INJUSTO','50');</t>
  </si>
  <si>
    <t>INSERT INTO Rendimiento VALUES ('9','227','12','5','ME PARECE INJUSTO','51');</t>
  </si>
  <si>
    <t>INSERT INTO Rendimiento VALUES ('7','219','12','9','NO OPINO','52');</t>
  </si>
  <si>
    <t>INSERT INTO Rendimiento VALUES ('3','208','12','0','ME PARECE BIEN','53');</t>
  </si>
  <si>
    <t>INSERT INTO Rendimiento VALUES ('6','197','10','10','NO OPINO','54');</t>
  </si>
  <si>
    <t>INSERT INTO Rendimiento VALUES ('7','201','15','3','ME PARECE INJUSTO','55');</t>
  </si>
  <si>
    <t>INSERT INTO Rendimiento VALUES ('9','249','13','0','NO OPINO','56');</t>
  </si>
  <si>
    <t>INSERT INTO Rendimiento VALUES ('5','260','11','2','ME PARECE MAL','57');</t>
  </si>
  <si>
    <t>INSERT INTO Rendimiento VALUES ('4','227','17','6','NO OPINO','58');</t>
  </si>
  <si>
    <t>INSERT INTO Rendimiento VALUES ('4','233','18','10','ME PARECE MAL','59');</t>
  </si>
  <si>
    <t>INSERT INTO Rendimiento VALUES ('6','240','19','4','ME PARECE INJUSTO','60');</t>
  </si>
  <si>
    <t>INSERT INTO Rendimiento VALUES ('2','198','6','3','NO OPINO','61');</t>
  </si>
  <si>
    <t>INSERT INTO Rendimiento VALUES ('3','211','12','8','ME PARECE MAL','62');</t>
  </si>
  <si>
    <t>INSERT INTO Rendimiento VALUES ('2','222','14','0','ME PARECE MAL','63');</t>
  </si>
  <si>
    <t>INSERT INTO Rendimiento VALUES ('4','184','16','7','ME PARECE INJUSTO','64');</t>
  </si>
  <si>
    <t>INSERT INTO Rendimiento VALUES ('10','201','5','9','ME PARECE INJUSTO','65');</t>
  </si>
  <si>
    <t>INSERT INTO Rendimiento VALUES ('5','253','10','2','ME PARECE BIEN','66');</t>
  </si>
  <si>
    <t>INSERT INTO Rendimiento VALUES ('8','191','6','1','ME PARECE MAL','67');</t>
  </si>
  <si>
    <t>INSERT INTO Rendimiento VALUES ('5','203','19','7','ME PARECE MAL','68');</t>
  </si>
  <si>
    <t>INSERT INTO Rendimiento VALUES ('0','208','13','5','NO OPINO','69');</t>
  </si>
  <si>
    <t>INSERT INTO Rendimiento VALUES ('0','193','8','0','ME PARECE MAL','70');</t>
  </si>
  <si>
    <t>INSERT INTO Rendimiento VALUES ('4','213','13','0','NO OPINO','71');</t>
  </si>
  <si>
    <t>INSERT INTO Rendimiento VALUES ('10','215','14','2','NO OPINO','72');</t>
  </si>
  <si>
    <t>INSERT INTO Rendimiento VALUES ('4','211','13','0','ME PARECE BIEN','73');</t>
  </si>
  <si>
    <t>INSERT INTO Rendimiento VALUES ('1','254','9','5','NO OPINO','74');</t>
  </si>
  <si>
    <t>INSERT INTO Rendimiento VALUES ('10','202','17','10','ME PARECE INJUSTO','75');</t>
  </si>
  <si>
    <t>INSERT INTO Rendimiento VALUES ('3','198','8','7','NO OPINO','76');</t>
  </si>
  <si>
    <t>INSERT INTO Rendimiento VALUES ('8','211','20','1','ME PARECE BIEN','77');</t>
  </si>
  <si>
    <t>INSERT INTO Rendimiento VALUES ('7','180','10','8','ME PARECE INJUSTO','78');</t>
  </si>
  <si>
    <t>INSERT INTO Rendimiento VALUES ('7','205','6','5','NO OPINO','79');</t>
  </si>
  <si>
    <t>INSERT INTO Rendimiento VALUES ('4','229','18','8','ME PARECE BIEN','80');</t>
  </si>
  <si>
    <t>INSERT INTO Rendimiento VALUES ('0','253','10','10','NO OPINO','81');</t>
  </si>
  <si>
    <t>INSERT INTO Rendimiento VALUES ('10','189','14','6','ME PARECE MAL','82');</t>
  </si>
  <si>
    <t>INSERT INTO Rendimiento VALUES ('5','248','12','3','ME PARECE BIEN','83');</t>
  </si>
  <si>
    <t>INSERT INTO Rendimiento VALUES ('7','218','13','4','ME PARECE BIEN','84');</t>
  </si>
  <si>
    <t>INSERT INTO Rendimiento VALUES ('7','206','5','9','ME PARECE MAL','85');</t>
  </si>
  <si>
    <t>INSERT INTO Rendimiento VALUES ('6','234','15','5','NO OPINO','86');</t>
  </si>
  <si>
    <t>INSERT INTO Rendimiento VALUES ('8','227','17','3','ME PARECE MAL','87');</t>
  </si>
  <si>
    <t>INSERT INTO Rendimiento VALUES ('8','202','9','0','ME PARECE MAL','88');</t>
  </si>
  <si>
    <t>INSERT INTO Rendimiento VALUES ('2','185','15','1','ME PARECE INJUSTO','89');</t>
  </si>
  <si>
    <t>INSERT INTO Rendimiento VALUES ('4','206','15','10','ME PARECE MAL','90');</t>
  </si>
  <si>
    <t>INSERT INTO Rendimiento VALUES ('0','183','6','2','ME PARECE INJUSTO','91');</t>
  </si>
  <si>
    <t>INSERT INTO Rendimiento VALUES ('7','196','16','4','NO OPINO','92');</t>
  </si>
  <si>
    <t>INSERT INTO Rendimiento VALUES ('5','238','16','5','ME PARECE BIEN','93');</t>
  </si>
  <si>
    <t>INSERT INTO Rendimiento VALUES ('6','247','14','6','ME PARECE MAL','94');</t>
  </si>
  <si>
    <t>INSERT INTO Rendimiento VALUES ('8','226','5','1','NO OPINO','95');</t>
  </si>
  <si>
    <t>INSERT INTO Rendimiento VALUES ('4','189','16','9','ME PARECE INJUSTO','96');</t>
  </si>
  <si>
    <t>INSERT INTO Rendimiento VALUES ('8','249','10','8','ME PARECE BIEN','97');</t>
  </si>
  <si>
    <t>INSERT INTO Rendimiento VALUES ('7','226','14','2','NO OPINO','98');</t>
  </si>
  <si>
    <t>INSERT INTO Rendimiento VALUES ('9','195','18','2','ME PARECE MAL','99');</t>
  </si>
  <si>
    <t>INSERT INTO Rendimiento VALUES ('2','191','17','1','NO OPINO','100');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</si>
</sst>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name val="Arial"/>
    </font>
    <font>
      <sz val="11"/>
      <color theme="1"/>
      <name val="Calibri"/>
    </font>
    <font>
      <sz val="11"/>
      <color rgb="FF000000"/>
      <name val="Calibri"/>
    </font>
    <font>
      <u/>
      <sz val="11"/>
      <color theme="10"/>
      <name val="Arial"/>
    </font>
    <font>
      <sz val="11"/>
      <color theme="1"/>
      <name val="Calibri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8"/>
      <name val="Arial"/>
    </font>
    <font>
      <sz val="9"/>
      <color theme="1"/>
      <name val="Arial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  <fill>
      <patternFill patternType="solid">
        <fgColor rgb="FFF4B083"/>
        <bgColor rgb="FFF4B083"/>
      </patternFill>
    </fill>
    <fill>
      <patternFill patternType="solid">
        <fgColor theme="0"/>
        <bgColor theme="0"/>
      </patternFill>
    </fill>
    <fill>
      <patternFill patternType="solid">
        <fgColor rgb="FFC6E0B4"/>
        <bgColor rgb="FFC6E0B4"/>
      </patternFill>
    </fill>
    <fill>
      <patternFill patternType="solid">
        <fgColor rgb="FFFFFFFF"/>
        <bgColor rgb="FFFFFFFF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20" fillId="12" borderId="14" applyNumberFormat="0" applyAlignment="0" applyProtection="0"/>
    <xf numFmtId="0" fontId="21" fillId="13" borderId="15" applyNumberFormat="0" applyAlignment="0" applyProtection="0"/>
    <xf numFmtId="0" fontId="22" fillId="13" borderId="14" applyNumberFormat="0" applyAlignment="0" applyProtection="0"/>
    <xf numFmtId="0" fontId="23" fillId="0" borderId="16" applyNumberFormat="0" applyFill="0" applyAlignment="0" applyProtection="0"/>
    <xf numFmtId="0" fontId="24" fillId="14" borderId="17" applyNumberFormat="0" applyAlignment="0" applyProtection="0"/>
    <xf numFmtId="0" fontId="27" fillId="0" borderId="19" applyNumberFormat="0" applyFill="0" applyAlignment="0" applyProtection="0"/>
    <xf numFmtId="0" fontId="3" fillId="0" borderId="4"/>
    <xf numFmtId="0" fontId="13" fillId="0" borderId="4" applyNumberFormat="0" applyFill="0" applyBorder="0" applyAlignment="0" applyProtection="0"/>
    <xf numFmtId="0" fontId="16" fillId="0" borderId="4" applyNumberFormat="0" applyFill="0" applyBorder="0" applyAlignment="0" applyProtection="0"/>
    <xf numFmtId="0" fontId="17" fillId="9" borderId="4" applyNumberFormat="0" applyBorder="0" applyAlignment="0" applyProtection="0"/>
    <xf numFmtId="0" fontId="18" fillId="10" borderId="4" applyNumberFormat="0" applyBorder="0" applyAlignment="0" applyProtection="0"/>
    <xf numFmtId="0" fontId="19" fillId="11" borderId="4" applyNumberFormat="0" applyBorder="0" applyAlignment="0" applyProtection="0"/>
    <xf numFmtId="0" fontId="25" fillId="0" borderId="4" applyNumberFormat="0" applyFill="0" applyBorder="0" applyAlignment="0" applyProtection="0"/>
    <xf numFmtId="0" fontId="3" fillId="15" borderId="18" applyNumberFormat="0" applyFont="0" applyAlignment="0" applyProtection="0"/>
    <xf numFmtId="0" fontId="26" fillId="0" borderId="4" applyNumberFormat="0" applyFill="0" applyBorder="0" applyAlignment="0" applyProtection="0"/>
    <xf numFmtId="0" fontId="28" fillId="16" borderId="4" applyNumberFormat="0" applyBorder="0" applyAlignment="0" applyProtection="0"/>
    <xf numFmtId="0" fontId="3" fillId="17" borderId="4" applyNumberFormat="0" applyBorder="0" applyAlignment="0" applyProtection="0"/>
    <xf numFmtId="0" fontId="3" fillId="18" borderId="4" applyNumberFormat="0" applyBorder="0" applyAlignment="0" applyProtection="0"/>
    <xf numFmtId="0" fontId="3" fillId="19" borderId="4" applyNumberFormat="0" applyBorder="0" applyAlignment="0" applyProtection="0"/>
    <xf numFmtId="0" fontId="28" fillId="20" borderId="4" applyNumberFormat="0" applyBorder="0" applyAlignment="0" applyProtection="0"/>
    <xf numFmtId="0" fontId="3" fillId="21" borderId="4" applyNumberFormat="0" applyBorder="0" applyAlignment="0" applyProtection="0"/>
    <xf numFmtId="0" fontId="3" fillId="22" borderId="4" applyNumberFormat="0" applyBorder="0" applyAlignment="0" applyProtection="0"/>
    <xf numFmtId="0" fontId="3" fillId="23" borderId="4" applyNumberFormat="0" applyBorder="0" applyAlignment="0" applyProtection="0"/>
    <xf numFmtId="0" fontId="28" fillId="24" borderId="4" applyNumberFormat="0" applyBorder="0" applyAlignment="0" applyProtection="0"/>
    <xf numFmtId="0" fontId="3" fillId="25" borderId="4" applyNumberFormat="0" applyBorder="0" applyAlignment="0" applyProtection="0"/>
    <xf numFmtId="0" fontId="3" fillId="26" borderId="4" applyNumberFormat="0" applyBorder="0" applyAlignment="0" applyProtection="0"/>
    <xf numFmtId="0" fontId="3" fillId="27" borderId="4" applyNumberFormat="0" applyBorder="0" applyAlignment="0" applyProtection="0"/>
    <xf numFmtId="0" fontId="28" fillId="28" borderId="4" applyNumberFormat="0" applyBorder="0" applyAlignment="0" applyProtection="0"/>
    <xf numFmtId="0" fontId="3" fillId="29" borderId="4" applyNumberFormat="0" applyBorder="0" applyAlignment="0" applyProtection="0"/>
    <xf numFmtId="0" fontId="3" fillId="30" borderId="4" applyNumberFormat="0" applyBorder="0" applyAlignment="0" applyProtection="0"/>
    <xf numFmtId="0" fontId="3" fillId="31" borderId="4" applyNumberFormat="0" applyBorder="0" applyAlignment="0" applyProtection="0"/>
    <xf numFmtId="0" fontId="28" fillId="32" borderId="4" applyNumberFormat="0" applyBorder="0" applyAlignment="0" applyProtection="0"/>
    <xf numFmtId="0" fontId="3" fillId="33" borderId="4" applyNumberFormat="0" applyBorder="0" applyAlignment="0" applyProtection="0"/>
    <xf numFmtId="0" fontId="3" fillId="34" borderId="4" applyNumberFormat="0" applyBorder="0" applyAlignment="0" applyProtection="0"/>
    <xf numFmtId="0" fontId="3" fillId="35" borderId="4" applyNumberFormat="0" applyBorder="0" applyAlignment="0" applyProtection="0"/>
    <xf numFmtId="0" fontId="28" fillId="36" borderId="4" applyNumberFormat="0" applyBorder="0" applyAlignment="0" applyProtection="0"/>
    <xf numFmtId="0" fontId="3" fillId="37" borderId="4" applyNumberFormat="0" applyBorder="0" applyAlignment="0" applyProtection="0"/>
    <xf numFmtId="0" fontId="3" fillId="38" borderId="4" applyNumberFormat="0" applyBorder="0" applyAlignment="0" applyProtection="0"/>
    <xf numFmtId="0" fontId="3" fillId="39" borderId="4" applyNumberFormat="0" applyBorder="0" applyAlignment="0" applyProtection="0"/>
    <xf numFmtId="0" fontId="33" fillId="0" borderId="4" applyNumberFormat="0" applyFill="0" applyBorder="0" applyAlignment="0" applyProtection="0"/>
  </cellStyleXfs>
  <cellXfs count="71">
    <xf numFmtId="0" fontId="0" fillId="0" borderId="0" xfId="0" applyFont="1" applyAlignment="1"/>
    <xf numFmtId="0" fontId="4" fillId="0" borderId="0" xfId="0" applyFont="1"/>
    <xf numFmtId="0" fontId="4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6" fillId="0" borderId="0" xfId="0" applyFont="1"/>
    <xf numFmtId="0" fontId="4" fillId="3" borderId="4" xfId="0" applyFont="1" applyFill="1" applyBorder="1"/>
    <xf numFmtId="0" fontId="4" fillId="5" borderId="4" xfId="0" applyFont="1" applyFill="1" applyBorder="1"/>
    <xf numFmtId="0" fontId="4" fillId="0" borderId="0" xfId="0" applyFont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0" borderId="3" xfId="0" applyFont="1" applyBorder="1"/>
    <xf numFmtId="0" fontId="4" fillId="6" borderId="3" xfId="0" applyFont="1" applyFill="1" applyBorder="1"/>
    <xf numFmtId="0" fontId="7" fillId="7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/>
    <xf numFmtId="0" fontId="11" fillId="7" borderId="8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12" fillId="0" borderId="0" xfId="0" applyFont="1" applyAlignment="1"/>
    <xf numFmtId="0" fontId="29" fillId="0" borderId="0" xfId="0" applyFont="1" applyAlignment="1"/>
    <xf numFmtId="0" fontId="3" fillId="4" borderId="20" xfId="0" applyFont="1" applyFill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2" fillId="8" borderId="10" xfId="0" applyFont="1" applyFill="1" applyBorder="1" applyAlignment="1">
      <alignment vertical="top"/>
    </xf>
    <xf numFmtId="0" fontId="32" fillId="0" borderId="10" xfId="0" applyFont="1" applyBorder="1" applyAlignment="1"/>
    <xf numFmtId="0" fontId="33" fillId="0" borderId="10" xfId="1" applyFont="1" applyBorder="1" applyAlignment="1"/>
    <xf numFmtId="0" fontId="3" fillId="0" borderId="0" xfId="0" applyFont="1" applyAlignment="1"/>
    <xf numFmtId="0" fontId="3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left"/>
    </xf>
    <xf numFmtId="0" fontId="32" fillId="0" borderId="10" xfId="0" applyFont="1" applyBorder="1" applyAlignment="1">
      <alignment horizontal="right"/>
    </xf>
    <xf numFmtId="0" fontId="3" fillId="0" borderId="10" xfId="0" applyFont="1" applyBorder="1" applyAlignment="1"/>
    <xf numFmtId="0" fontId="3" fillId="0" borderId="10" xfId="0" applyFont="1" applyBorder="1"/>
    <xf numFmtId="0" fontId="4" fillId="4" borderId="6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 applyAlignment="1">
      <alignment horizontal="center"/>
    </xf>
    <xf numFmtId="0" fontId="0" fillId="0" borderId="10" xfId="0" applyFont="1" applyBorder="1" applyAlignment="1"/>
    <xf numFmtId="0" fontId="4" fillId="4" borderId="1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9" fillId="0" borderId="3" xfId="0" applyFont="1" applyBorder="1"/>
    <xf numFmtId="0" fontId="11" fillId="0" borderId="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9" fillId="0" borderId="10" xfId="0" applyFont="1" applyBorder="1" applyAlignment="1"/>
    <xf numFmtId="0" fontId="2" fillId="4" borderId="20" xfId="0" applyFont="1" applyFill="1" applyBorder="1" applyAlignment="1">
      <alignment horizontal="center"/>
    </xf>
    <xf numFmtId="2" fontId="32" fillId="0" borderId="10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31" fillId="0" borderId="4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22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9" fillId="40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5" fillId="0" borderId="21" xfId="0" applyFont="1" applyBorder="1"/>
    <xf numFmtId="0" fontId="5" fillId="0" borderId="2" xfId="0" applyFont="1" applyBorder="1"/>
    <xf numFmtId="0" fontId="5" fillId="0" borderId="5" xfId="0" applyFont="1" applyBorder="1"/>
    <xf numFmtId="0" fontId="11" fillId="2" borderId="1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0" borderId="4" xfId="0" applyFont="1" applyBorder="1" applyAlignment="1">
      <alignment horizontal="right"/>
    </xf>
    <xf numFmtId="0" fontId="11" fillId="2" borderId="22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14" fontId="7" fillId="0" borderId="9" xfId="0" applyNumberFormat="1" applyFont="1" applyBorder="1" applyAlignment="1">
      <alignment horizontal="center"/>
    </xf>
    <xf numFmtId="14" fontId="0" fillId="0" borderId="0" xfId="0" quotePrefix="1" applyNumberFormat="1" applyFont="1" applyAlignment="1"/>
    <xf numFmtId="0" fontId="1" fillId="3" borderId="2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45">
    <cellStyle name="20% - Énfasis1 2" xfId="21" xr:uid="{A765C9C2-2E46-4057-876D-C9DD0AC1823B}"/>
    <cellStyle name="20% - Énfasis2 2" xfId="25" xr:uid="{45199D3F-8846-4F76-BFC6-79A46005353E}"/>
    <cellStyle name="20% - Énfasis3 2" xfId="29" xr:uid="{3A410B84-B340-4FF8-8E35-8285589D6DDA}"/>
    <cellStyle name="20% - Énfasis4 2" xfId="33" xr:uid="{48C43B1B-45E9-45F4-984D-D0ABD100B10F}"/>
    <cellStyle name="20% - Énfasis5 2" xfId="37" xr:uid="{303F8AD1-E096-40D2-B10F-F70C422E67C4}"/>
    <cellStyle name="20% - Énfasis6 2" xfId="41" xr:uid="{66F2CDCD-FC80-4476-9212-D80564D59D88}"/>
    <cellStyle name="40% - Énfasis1 2" xfId="22" xr:uid="{F107F5AA-3437-4542-9926-C58E7436BEB4}"/>
    <cellStyle name="40% - Énfasis2 2" xfId="26" xr:uid="{421B0A01-7E8A-4551-92E0-379BE5627DAC}"/>
    <cellStyle name="40% - Énfasis3 2" xfId="30" xr:uid="{E771807C-8625-46B4-855C-AF0A5AB9EF74}"/>
    <cellStyle name="40% - Énfasis4 2" xfId="34" xr:uid="{A176BA06-72DE-4748-A31E-24E9EDFEC5C3}"/>
    <cellStyle name="40% - Énfasis5 2" xfId="38" xr:uid="{DC529F6C-8848-4569-B1FA-934D8E0DECB6}"/>
    <cellStyle name="40% - Énfasis6 2" xfId="42" xr:uid="{D52B7D11-5A3C-4E0B-BE97-5295F936F854}"/>
    <cellStyle name="60% - Énfasis1 2" xfId="23" xr:uid="{5630CD2C-6BC9-428F-A977-7331BC1763E8}"/>
    <cellStyle name="60% - Énfasis2 2" xfId="27" xr:uid="{9716DFBA-066A-4E09-9311-79827E5D3CE7}"/>
    <cellStyle name="60% - Énfasis3 2" xfId="31" xr:uid="{604AEE28-9830-4E0B-AF89-9839543638A0}"/>
    <cellStyle name="60% - Énfasis4 2" xfId="35" xr:uid="{DD7BB774-1CDB-4640-AC5E-590FBD8181E7}"/>
    <cellStyle name="60% - Énfasis5 2" xfId="39" xr:uid="{BC255A3C-957A-47F5-8030-5E6F88BC5F67}"/>
    <cellStyle name="60% - Énfasis6 2" xfId="43" xr:uid="{4D2DEE0F-3F41-4900-95AE-902152AA8663}"/>
    <cellStyle name="Bueno 2" xfId="14" xr:uid="{BFF8A6E6-E730-45D7-9471-59846F12ACE9}"/>
    <cellStyle name="Cálculo" xfId="7" builtinId="22" customBuiltin="1"/>
    <cellStyle name="Celda de comprobación" xfId="9" builtinId="23" customBuiltin="1"/>
    <cellStyle name="Celda vinculada" xfId="8" builtinId="24" customBuiltin="1"/>
    <cellStyle name="Encabezado 1" xfId="2" builtinId="16" customBuiltin="1"/>
    <cellStyle name="Encabezado 4 2" xfId="13" xr:uid="{176A228B-2DE8-499D-8082-5C50817EC257}"/>
    <cellStyle name="Énfasis1 2" xfId="20" xr:uid="{08C9CC37-A2F2-4E00-8A63-843E45AAEF12}"/>
    <cellStyle name="Énfasis2 2" xfId="24" xr:uid="{1A12573D-4696-4D4C-B6AB-0BEB63C6F4B5}"/>
    <cellStyle name="Énfasis3 2" xfId="28" xr:uid="{2F64E1C4-0BAB-4409-B997-24582888CCA5}"/>
    <cellStyle name="Énfasis4 2" xfId="32" xr:uid="{9E08BFF6-E455-4FCB-AA70-1F9A910ADFC7}"/>
    <cellStyle name="Énfasis5 2" xfId="36" xr:uid="{1DA3A525-2E11-4021-91A2-6738D29ACD53}"/>
    <cellStyle name="Énfasis6 2" xfId="40" xr:uid="{95480E4F-1DD8-45CF-A3A9-A927175F114B}"/>
    <cellStyle name="Entrada" xfId="5" builtinId="20" customBuiltin="1"/>
    <cellStyle name="Hipervínculo" xfId="1" builtinId="8"/>
    <cellStyle name="Hipervínculo 2" xfId="44" xr:uid="{8F149C97-9CBA-4791-8B48-8559008EA4A4}"/>
    <cellStyle name="Incorrecto 2" xfId="15" xr:uid="{117CFCCA-BB8E-48DE-BBBB-E675C81F2C87}"/>
    <cellStyle name="Neutral 2" xfId="16" xr:uid="{7A826038-1C1E-40CB-AC89-B54F2625E9C3}"/>
    <cellStyle name="Normal" xfId="0" builtinId="0"/>
    <cellStyle name="Normal 2" xfId="11" xr:uid="{5CFBF57C-088D-4B84-894A-FAEC6C5A5B72}"/>
    <cellStyle name="Notas 2" xfId="18" xr:uid="{AD50A07E-39BD-4686-A2ED-D36BAE09D770}"/>
    <cellStyle name="Salida" xfId="6" builtinId="21" customBuiltin="1"/>
    <cellStyle name="Texto de advertencia 2" xfId="17" xr:uid="{A770E074-91DF-44E9-8D62-ADF9EAAFF33A}"/>
    <cellStyle name="Texto explicativo 2" xfId="19" xr:uid="{5EC99E7F-B5B9-454E-A7DC-4EA9B3F3D14D}"/>
    <cellStyle name="Título 2" xfId="3" builtinId="17" customBuiltin="1"/>
    <cellStyle name="Título 3" xfId="4" builtinId="18" customBuiltin="1"/>
    <cellStyle name="Título 4" xfId="12" xr:uid="{B8BB51D3-1EC1-40FE-94AC-3195805FE821}"/>
    <cellStyle name="Total" xfId="1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onatan@corporation.v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00000"/>
  </sheetPr>
  <dimension ref="C3:F1000"/>
  <sheetViews>
    <sheetView zoomScale="160" zoomScaleNormal="160" workbookViewId="0">
      <selection activeCell="F5" sqref="F5:F14"/>
    </sheetView>
  </sheetViews>
  <sheetFormatPr baseColWidth="10" defaultColWidth="12.625" defaultRowHeight="15" customHeight="1" x14ac:dyDescent="0.2"/>
  <cols>
    <col min="1" max="2" width="9.375" customWidth="1"/>
    <col min="3" max="3" width="16.375" bestFit="1" customWidth="1"/>
    <col min="4" max="4" width="9.375" bestFit="1" customWidth="1"/>
    <col min="5" max="26" width="9.375" customWidth="1"/>
  </cols>
  <sheetData>
    <row r="3" spans="3:6" x14ac:dyDescent="0.25">
      <c r="C3" s="56" t="s">
        <v>331</v>
      </c>
      <c r="D3" s="57"/>
      <c r="E3" s="1"/>
    </row>
    <row r="4" spans="3:6" x14ac:dyDescent="0.25">
      <c r="C4" s="37" t="s">
        <v>332</v>
      </c>
      <c r="D4" s="38" t="s">
        <v>67</v>
      </c>
      <c r="E4" s="7"/>
    </row>
    <row r="5" spans="3:6" x14ac:dyDescent="0.25">
      <c r="C5" s="34" t="s">
        <v>333</v>
      </c>
      <c r="D5" s="39">
        <v>1</v>
      </c>
      <c r="E5" s="1"/>
      <c r="F5" s="4" t="str">
        <f>"INSERT INTO SEDE VALUES ('"&amp;C5&amp;"','"&amp;D5&amp;"');"</f>
        <v>INSERT INTO SEDE VALUES ('Sede Amazonas','1');</v>
      </c>
    </row>
    <row r="6" spans="3:6" x14ac:dyDescent="0.25">
      <c r="C6" s="34" t="s">
        <v>334</v>
      </c>
      <c r="D6" s="39">
        <v>2</v>
      </c>
      <c r="E6" s="1"/>
      <c r="F6" s="4" t="str">
        <f t="shared" ref="F6:F14" si="0">"INSERT INTO SEDE VALUES ('"&amp;C6&amp;"','"&amp;D6&amp;"');"</f>
        <v>INSERT INTO SEDE VALUES ('Sede Áncash','2');</v>
      </c>
    </row>
    <row r="7" spans="3:6" x14ac:dyDescent="0.25">
      <c r="C7" s="34" t="s">
        <v>335</v>
      </c>
      <c r="D7" s="39">
        <v>3</v>
      </c>
      <c r="E7" s="1"/>
      <c r="F7" s="4" t="str">
        <f t="shared" si="0"/>
        <v>INSERT INTO SEDE VALUES ('Sede Apurímac','3');</v>
      </c>
    </row>
    <row r="8" spans="3:6" x14ac:dyDescent="0.25">
      <c r="C8" s="34" t="s">
        <v>336</v>
      </c>
      <c r="D8" s="39">
        <v>4</v>
      </c>
      <c r="E8" s="1"/>
      <c r="F8" s="4" t="str">
        <f t="shared" si="0"/>
        <v>INSERT INTO SEDE VALUES ('Sede Arequipa','4');</v>
      </c>
    </row>
    <row r="9" spans="3:6" x14ac:dyDescent="0.25">
      <c r="C9" s="34" t="s">
        <v>342</v>
      </c>
      <c r="D9" s="39">
        <v>5</v>
      </c>
      <c r="E9" s="1"/>
      <c r="F9" s="4" t="str">
        <f t="shared" si="0"/>
        <v>INSERT INTO SEDE VALUES ('Sede Trujillo','5');</v>
      </c>
    </row>
    <row r="10" spans="3:6" x14ac:dyDescent="0.25">
      <c r="C10" s="34" t="s">
        <v>337</v>
      </c>
      <c r="D10" s="39">
        <v>6</v>
      </c>
      <c r="E10" s="1"/>
      <c r="F10" s="4" t="str">
        <f t="shared" si="0"/>
        <v>INSERT INTO SEDE VALUES ('Sede Cajamarca','6');</v>
      </c>
    </row>
    <row r="11" spans="3:6" x14ac:dyDescent="0.25">
      <c r="C11" s="34" t="s">
        <v>338</v>
      </c>
      <c r="D11" s="39">
        <v>7</v>
      </c>
      <c r="E11" s="1"/>
      <c r="F11" s="4" t="str">
        <f t="shared" si="0"/>
        <v>INSERT INTO SEDE VALUES ('Sede Callao','7');</v>
      </c>
    </row>
    <row r="12" spans="3:6" x14ac:dyDescent="0.25">
      <c r="C12" s="34" t="s">
        <v>339</v>
      </c>
      <c r="D12" s="39">
        <v>8</v>
      </c>
      <c r="E12" s="1"/>
      <c r="F12" s="4" t="str">
        <f t="shared" si="0"/>
        <v>INSERT INTO SEDE VALUES ('Sede Cusco','8');</v>
      </c>
    </row>
    <row r="13" spans="3:6" x14ac:dyDescent="0.25">
      <c r="C13" s="34" t="s">
        <v>340</v>
      </c>
      <c r="D13" s="39">
        <v>9</v>
      </c>
      <c r="E13" s="1"/>
      <c r="F13" s="4" t="str">
        <f t="shared" si="0"/>
        <v>INSERT INTO SEDE VALUES ('Sede Huancavelica','9');</v>
      </c>
    </row>
    <row r="14" spans="3:6" x14ac:dyDescent="0.25">
      <c r="C14" s="34" t="s">
        <v>341</v>
      </c>
      <c r="D14" s="39">
        <v>10</v>
      </c>
      <c r="E14" s="1"/>
      <c r="F14" s="4" t="str">
        <f t="shared" si="0"/>
        <v>INSERT INTO SEDE VALUES ('Sede Huánuco','10');</v>
      </c>
    </row>
    <row r="15" spans="3:6" ht="14.25" x14ac:dyDescent="0.2"/>
    <row r="16" spans="3:6" ht="14.25" x14ac:dyDescent="0.2"/>
    <row r="17" ht="14.25" x14ac:dyDescent="0.2"/>
    <row r="18" ht="14.25" x14ac:dyDescent="0.2"/>
    <row r="19" ht="14.25" x14ac:dyDescent="0.2"/>
    <row r="20" ht="14.25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spans="3:3" ht="15.75" customHeight="1" x14ac:dyDescent="0.2"/>
    <row r="82" spans="3:3" ht="15.75" customHeight="1" x14ac:dyDescent="0.2"/>
    <row r="83" spans="3:3" ht="15.75" customHeight="1" x14ac:dyDescent="0.2"/>
    <row r="84" spans="3:3" ht="15.75" customHeight="1" x14ac:dyDescent="0.2"/>
    <row r="85" spans="3:3" ht="15.75" customHeight="1" x14ac:dyDescent="0.2"/>
    <row r="86" spans="3:3" ht="15.75" customHeight="1" x14ac:dyDescent="0.2"/>
    <row r="87" spans="3:3" ht="15.75" customHeight="1" x14ac:dyDescent="0.2"/>
    <row r="88" spans="3:3" ht="15.75" customHeight="1" x14ac:dyDescent="0.2"/>
    <row r="89" spans="3:3" ht="15.75" customHeight="1" x14ac:dyDescent="0.2">
      <c r="C89" t="str">
        <f t="shared" ref="C89:C94" si="1">A62&amp;" "&amp;B62</f>
        <v xml:space="preserve"> </v>
      </c>
    </row>
    <row r="90" spans="3:3" ht="15.75" customHeight="1" x14ac:dyDescent="0.2">
      <c r="C90" t="str">
        <f t="shared" si="1"/>
        <v xml:space="preserve"> </v>
      </c>
    </row>
    <row r="91" spans="3:3" ht="15.75" customHeight="1" x14ac:dyDescent="0.2">
      <c r="C91" t="str">
        <f t="shared" si="1"/>
        <v xml:space="preserve"> </v>
      </c>
    </row>
    <row r="92" spans="3:3" ht="15.75" customHeight="1" x14ac:dyDescent="0.2">
      <c r="C92" t="str">
        <f t="shared" si="1"/>
        <v xml:space="preserve"> </v>
      </c>
    </row>
    <row r="93" spans="3:3" ht="15.75" customHeight="1" x14ac:dyDescent="0.2">
      <c r="C93" t="str">
        <f t="shared" si="1"/>
        <v xml:space="preserve"> </v>
      </c>
    </row>
    <row r="94" spans="3:3" ht="15.75" customHeight="1" x14ac:dyDescent="0.2">
      <c r="C94" t="str">
        <f t="shared" si="1"/>
        <v xml:space="preserve"> </v>
      </c>
    </row>
    <row r="95" spans="3:3" ht="15.75" customHeight="1" x14ac:dyDescent="0.2"/>
    <row r="96" spans="3:3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D3"/>
  </mergeCells>
  <phoneticPr fontId="10" type="noConversion"/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">
    <tabColor rgb="FFC00000"/>
  </sheetPr>
  <dimension ref="B3:F1000"/>
  <sheetViews>
    <sheetView topLeftCell="A10" zoomScale="190" zoomScaleNormal="190" workbookViewId="0">
      <selection activeCell="D5" sqref="D5"/>
    </sheetView>
  </sheetViews>
  <sheetFormatPr baseColWidth="10" defaultColWidth="12.625" defaultRowHeight="15" customHeight="1" x14ac:dyDescent="0.2"/>
  <cols>
    <col min="1" max="2" width="9.375" customWidth="1"/>
    <col min="3" max="3" width="39.625" bestFit="1" customWidth="1"/>
    <col min="4" max="4" width="7.75" bestFit="1" customWidth="1"/>
    <col min="5" max="5" width="9.25" customWidth="1"/>
    <col min="6" max="26" width="9.375" customWidth="1"/>
  </cols>
  <sheetData>
    <row r="3" spans="2:6" x14ac:dyDescent="0.25">
      <c r="C3" s="56" t="s">
        <v>96</v>
      </c>
      <c r="D3" s="58"/>
    </row>
    <row r="4" spans="2:6" x14ac:dyDescent="0.25">
      <c r="C4" s="33" t="s">
        <v>95</v>
      </c>
      <c r="D4" t="s">
        <v>477</v>
      </c>
    </row>
    <row r="5" spans="2:6" x14ac:dyDescent="0.25">
      <c r="B5" s="51"/>
      <c r="C5" s="51" t="s">
        <v>367</v>
      </c>
      <c r="D5" s="36">
        <v>1</v>
      </c>
      <c r="F5" s="4" t="str">
        <f>"INSERT INTO CARGO VALUES ('"&amp;C5&amp;"','"&amp;D5&amp;"');"</f>
        <v>INSERT INTO CARGO VALUES ('Médico','1');</v>
      </c>
    </row>
    <row r="6" spans="2:6" x14ac:dyDescent="0.25">
      <c r="B6" s="55"/>
      <c r="C6" s="55" t="s">
        <v>503</v>
      </c>
      <c r="D6" s="36">
        <v>2</v>
      </c>
      <c r="F6" s="4" t="str">
        <f t="shared" ref="F6:F22" si="0">"INSERT INTO CARGO VALUES ('"&amp;C6&amp;"','"&amp;D6&amp;"');"</f>
        <v>INSERT INTO CARGO VALUES ('Intercambio','2');</v>
      </c>
    </row>
    <row r="7" spans="2:6" x14ac:dyDescent="0.25">
      <c r="B7" s="52"/>
      <c r="C7" s="52" t="s">
        <v>368</v>
      </c>
      <c r="D7" s="36">
        <v>3</v>
      </c>
      <c r="F7" s="4" t="str">
        <f t="shared" si="0"/>
        <v>INSERT INTO CARGO VALUES ('Especialistas','3');</v>
      </c>
    </row>
    <row r="8" spans="2:6" ht="15" customHeight="1" x14ac:dyDescent="0.25">
      <c r="B8" s="52"/>
      <c r="C8" s="52" t="s">
        <v>369</v>
      </c>
      <c r="D8" s="36">
        <v>4</v>
      </c>
      <c r="F8" s="4" t="str">
        <f t="shared" si="0"/>
        <v>INSERT INTO CARGO VALUES ('Personal de enfermería','4');</v>
      </c>
    </row>
    <row r="9" spans="2:6" ht="15" customHeight="1" x14ac:dyDescent="0.25">
      <c r="B9" s="52"/>
      <c r="C9" s="52" t="s">
        <v>370</v>
      </c>
      <c r="D9" s="36">
        <v>5</v>
      </c>
      <c r="F9" s="4" t="str">
        <f t="shared" si="0"/>
        <v>INSERT INTO CARGO VALUES ('Personal de enfermería práctico','5');</v>
      </c>
    </row>
    <row r="10" spans="2:6" ht="15" customHeight="1" x14ac:dyDescent="0.25">
      <c r="B10" s="52"/>
      <c r="C10" s="52" t="s">
        <v>371</v>
      </c>
      <c r="D10" s="36">
        <v>6</v>
      </c>
      <c r="F10" s="4" t="str">
        <f t="shared" si="0"/>
        <v>INSERT INTO CARGO VALUES ('asistentes médicos','6');</v>
      </c>
    </row>
    <row r="11" spans="2:6" ht="15" customHeight="1" x14ac:dyDescent="0.25">
      <c r="B11" s="52"/>
      <c r="C11" s="52" t="s">
        <v>372</v>
      </c>
      <c r="D11" s="36">
        <v>7</v>
      </c>
      <c r="F11" s="4" t="str">
        <f t="shared" si="0"/>
        <v>INSERT INTO CARGO VALUES ('Defensor del paciente','7');</v>
      </c>
    </row>
    <row r="12" spans="2:6" ht="15" customHeight="1" x14ac:dyDescent="0.25">
      <c r="B12" s="53"/>
      <c r="C12" s="53" t="s">
        <v>366</v>
      </c>
      <c r="D12" s="36">
        <v>8</v>
      </c>
      <c r="F12" s="4" t="str">
        <f t="shared" si="0"/>
        <v>INSERT INTO CARGO VALUES ('Auxiliares de enfermería.','8');</v>
      </c>
    </row>
    <row r="13" spans="2:6" ht="15" customHeight="1" x14ac:dyDescent="0.25">
      <c r="B13" s="54"/>
      <c r="C13" s="54" t="s">
        <v>119</v>
      </c>
      <c r="D13" s="36">
        <v>9</v>
      </c>
      <c r="F13" s="4" t="str">
        <f t="shared" si="0"/>
        <v>INSERT INTO CARGO VALUES ('Lavanderia','9');</v>
      </c>
    </row>
    <row r="14" spans="2:6" ht="15" customHeight="1" x14ac:dyDescent="0.25">
      <c r="B14" s="54"/>
      <c r="C14" s="54" t="s">
        <v>120</v>
      </c>
      <c r="D14" s="36">
        <v>10</v>
      </c>
      <c r="F14" s="4" t="str">
        <f t="shared" si="0"/>
        <v>INSERT INTO CARGO VALUES ('Mantenimiento','10');</v>
      </c>
    </row>
    <row r="15" spans="2:6" ht="15" customHeight="1" x14ac:dyDescent="0.25">
      <c r="B15" s="52"/>
      <c r="C15" s="52" t="s">
        <v>122</v>
      </c>
      <c r="D15" s="36">
        <v>11</v>
      </c>
      <c r="F15" s="4" t="str">
        <f t="shared" si="0"/>
        <v>INSERT INTO CARGO VALUES ('Camaristas','11');</v>
      </c>
    </row>
    <row r="16" spans="2:6" ht="15" customHeight="1" x14ac:dyDescent="0.25">
      <c r="B16" s="55"/>
      <c r="C16" s="55" t="s">
        <v>478</v>
      </c>
      <c r="D16" s="36">
        <v>12</v>
      </c>
      <c r="F16" s="4" t="str">
        <f t="shared" si="0"/>
        <v>INSERT INTO CARGO VALUES ('Jefe de Area','12');</v>
      </c>
    </row>
    <row r="17" spans="2:6" ht="15" customHeight="1" x14ac:dyDescent="0.25">
      <c r="B17" s="52"/>
      <c r="C17" s="52" t="s">
        <v>123</v>
      </c>
      <c r="D17" s="36">
        <v>13</v>
      </c>
      <c r="F17" s="4" t="str">
        <f t="shared" si="0"/>
        <v>INSERT INTO CARGO VALUES ('Jefe de Recepción','13');</v>
      </c>
    </row>
    <row r="18" spans="2:6" ht="15" customHeight="1" x14ac:dyDescent="0.25">
      <c r="B18" s="52"/>
      <c r="C18" s="52" t="s">
        <v>121</v>
      </c>
      <c r="D18" s="36">
        <v>14</v>
      </c>
      <c r="F18" s="4" t="str">
        <f t="shared" si="0"/>
        <v>INSERT INTO CARGO VALUES ('Asistente de Gerencia','14');</v>
      </c>
    </row>
    <row r="19" spans="2:6" ht="15" customHeight="1" x14ac:dyDescent="0.25">
      <c r="B19" s="55"/>
      <c r="C19" s="55" t="s">
        <v>479</v>
      </c>
      <c r="D19" s="36">
        <v>15</v>
      </c>
      <c r="F19" s="4" t="str">
        <f t="shared" si="0"/>
        <v>INSERT INTO CARGO VALUES ('Jefe de Selección','15');</v>
      </c>
    </row>
    <row r="20" spans="2:6" ht="15" customHeight="1" x14ac:dyDescent="0.25">
      <c r="B20" s="52"/>
      <c r="C20" s="52" t="s">
        <v>121</v>
      </c>
      <c r="D20" s="36">
        <v>16</v>
      </c>
      <c r="F20" s="4" t="str">
        <f t="shared" si="0"/>
        <v>INSERT INTO CARGO VALUES ('Asistente de Gerencia','16');</v>
      </c>
    </row>
    <row r="21" spans="2:6" ht="15.75" customHeight="1" x14ac:dyDescent="0.25">
      <c r="B21" s="52"/>
      <c r="C21" s="52" t="s">
        <v>124</v>
      </c>
      <c r="D21" s="36">
        <v>17</v>
      </c>
      <c r="F21" s="4" t="str">
        <f t="shared" si="0"/>
        <v>INSERT INTO CARGO VALUES ('Recepcionista','17');</v>
      </c>
    </row>
    <row r="22" spans="2:6" ht="15.75" customHeight="1" x14ac:dyDescent="0.25">
      <c r="B22" s="55"/>
      <c r="C22" s="55" t="s">
        <v>480</v>
      </c>
      <c r="D22" s="36">
        <v>18</v>
      </c>
      <c r="F22" s="4" t="str">
        <f t="shared" si="0"/>
        <v>INSERT INTO CARGO VALUES ('Jefe de RRHH','18');</v>
      </c>
    </row>
    <row r="23" spans="2:6" ht="15.75" customHeight="1" x14ac:dyDescent="0.25">
      <c r="C23" s="36"/>
      <c r="D23" s="36"/>
      <c r="F23" s="4"/>
    </row>
    <row r="24" spans="2:6" ht="15.75" customHeight="1" x14ac:dyDescent="0.25">
      <c r="C24" s="36"/>
      <c r="D24" s="36"/>
      <c r="F24" s="4"/>
    </row>
    <row r="25" spans="2:6" ht="15.75" customHeight="1" x14ac:dyDescent="0.25">
      <c r="C25" s="36"/>
      <c r="D25" s="36"/>
      <c r="F25" s="4"/>
    </row>
    <row r="26" spans="2:6" ht="15.75" customHeight="1" x14ac:dyDescent="0.25">
      <c r="C26" s="36"/>
      <c r="D26" s="36"/>
      <c r="F26" s="4"/>
    </row>
    <row r="27" spans="2:6" ht="15.75" customHeight="1" x14ac:dyDescent="0.25">
      <c r="C27" s="36"/>
      <c r="D27" s="36"/>
      <c r="F27" s="4"/>
    </row>
    <row r="28" spans="2:6" ht="15.75" customHeight="1" x14ac:dyDescent="0.2"/>
    <row r="29" spans="2:6" ht="15.75" customHeight="1" x14ac:dyDescent="0.2"/>
    <row r="30" spans="2:6" ht="15.75" customHeight="1" x14ac:dyDescent="0.2"/>
    <row r="31" spans="2:6" ht="15.75" customHeight="1" x14ac:dyDescent="0.2"/>
    <row r="32" spans="2:6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D3"/>
  </mergeCells>
  <phoneticPr fontId="30" type="noConversion"/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rgb="FFC00000"/>
  </sheetPr>
  <dimension ref="C3:H999"/>
  <sheetViews>
    <sheetView topLeftCell="A28" zoomScale="205" zoomScaleNormal="205" workbookViewId="0">
      <selection activeCell="H31" sqref="H31:H53"/>
    </sheetView>
  </sheetViews>
  <sheetFormatPr baseColWidth="10" defaultColWidth="12.625" defaultRowHeight="15" customHeight="1" x14ac:dyDescent="0.2"/>
  <cols>
    <col min="1" max="2" width="9.375" customWidth="1"/>
    <col min="3" max="3" width="25.75" bestFit="1" customWidth="1"/>
    <col min="4" max="4" width="7.5" bestFit="1" customWidth="1"/>
    <col min="5" max="5" width="8.875" bestFit="1" customWidth="1"/>
    <col min="6" max="6" width="10.25" bestFit="1" customWidth="1"/>
    <col min="7" max="7" width="10.25" customWidth="1"/>
    <col min="8" max="27" width="9.375" customWidth="1"/>
  </cols>
  <sheetData>
    <row r="3" spans="3:8" x14ac:dyDescent="0.25">
      <c r="C3" s="56" t="s">
        <v>93</v>
      </c>
      <c r="D3" s="59"/>
      <c r="E3" s="58"/>
    </row>
    <row r="4" spans="3:8" x14ac:dyDescent="0.25">
      <c r="C4" s="2" t="s">
        <v>502</v>
      </c>
      <c r="D4" s="49" t="s">
        <v>94</v>
      </c>
      <c r="E4" s="40" t="s">
        <v>97</v>
      </c>
    </row>
    <row r="5" spans="3:8" x14ac:dyDescent="0.25">
      <c r="C5" s="36" t="s">
        <v>343</v>
      </c>
      <c r="D5" s="50">
        <v>1</v>
      </c>
      <c r="E5" s="41">
        <f>RandomSelection(CARGO!$D$5:$D$22)</f>
        <v>7</v>
      </c>
      <c r="H5" s="4" t="str">
        <f>"INSERT INTO AREA VALUES ('"&amp;C5&amp;"','"&amp;D5&amp;"','"&amp;E5&amp;"');"</f>
        <v>INSERT INTO AREA VALUES ('ANESTESIOLOGÍA','1','7');</v>
      </c>
    </row>
    <row r="6" spans="3:8" x14ac:dyDescent="0.25">
      <c r="C6" s="36" t="s">
        <v>346</v>
      </c>
      <c r="D6" s="50">
        <v>2</v>
      </c>
      <c r="E6" s="41">
        <f>RandomSelection(CARGO!$D$5:$D$22)</f>
        <v>16</v>
      </c>
      <c r="H6" s="4" t="str">
        <f t="shared" ref="H6:H27" si="0">"INSERT INTO AREA VALUES ('"&amp;C6&amp;"','"&amp;D6&amp;"','"&amp;E6&amp;"');"</f>
        <v>INSERT INTO AREA VALUES ('CARDIOLOGÍA','2','16');</v>
      </c>
    </row>
    <row r="7" spans="3:8" x14ac:dyDescent="0.25">
      <c r="C7" s="36" t="s">
        <v>349</v>
      </c>
      <c r="D7" s="50">
        <v>3</v>
      </c>
      <c r="E7" s="41">
        <f>RandomSelection(CARGO!$D$5:$D$22)</f>
        <v>1</v>
      </c>
      <c r="H7" s="4" t="str">
        <f t="shared" si="0"/>
        <v>INSERT INTO AREA VALUES ('CUIDADOS INTENSIVOS','3','1');</v>
      </c>
    </row>
    <row r="8" spans="3:8" ht="15" customHeight="1" x14ac:dyDescent="0.25">
      <c r="C8" s="36" t="s">
        <v>352</v>
      </c>
      <c r="D8" s="50">
        <v>4</v>
      </c>
      <c r="E8" s="41">
        <f>RandomSelection(CARGO!$D$5:$D$22)</f>
        <v>14</v>
      </c>
      <c r="H8" s="4" t="str">
        <f t="shared" si="0"/>
        <v>INSERT INTO AREA VALUES ('DIGESTIVO','4','14');</v>
      </c>
    </row>
    <row r="9" spans="3:8" ht="15" customHeight="1" x14ac:dyDescent="0.25">
      <c r="C9" s="36" t="s">
        <v>355</v>
      </c>
      <c r="D9" s="50">
        <v>5</v>
      </c>
      <c r="E9" s="41">
        <f>RandomSelection(CARGO!$D$5:$D$22)</f>
        <v>6</v>
      </c>
      <c r="H9" s="4" t="str">
        <f t="shared" si="0"/>
        <v>INSERT INTO AREA VALUES ('HEMATOLOGÍA','5','6');</v>
      </c>
    </row>
    <row r="10" spans="3:8" ht="15" customHeight="1" x14ac:dyDescent="0.25">
      <c r="C10" s="36" t="s">
        <v>357</v>
      </c>
      <c r="D10" s="50">
        <v>6</v>
      </c>
      <c r="E10" s="41">
        <f>RandomSelection(CARGO!$D$5:$D$22)</f>
        <v>2</v>
      </c>
      <c r="H10" s="4" t="str">
        <f t="shared" si="0"/>
        <v>INSERT INTO AREA VALUES ('MEDICINA INTERNA','6','2');</v>
      </c>
    </row>
    <row r="11" spans="3:8" ht="15" customHeight="1" x14ac:dyDescent="0.25">
      <c r="C11" s="36" t="s">
        <v>359</v>
      </c>
      <c r="D11" s="50">
        <v>7</v>
      </c>
      <c r="E11" s="41">
        <f>RandomSelection(CARGO!$D$5:$D$22)</f>
        <v>4</v>
      </c>
      <c r="H11" s="4" t="str">
        <f t="shared" si="0"/>
        <v>INSERT INTO AREA VALUES ('NEFROLOGÍA','7','4');</v>
      </c>
    </row>
    <row r="12" spans="3:8" ht="15" customHeight="1" x14ac:dyDescent="0.25">
      <c r="C12" s="36" t="s">
        <v>361</v>
      </c>
      <c r="D12" s="50">
        <v>8</v>
      </c>
      <c r="E12" s="41">
        <f>RandomSelection(CARGO!$D$5:$D$22)</f>
        <v>13</v>
      </c>
      <c r="H12" s="4" t="str">
        <f t="shared" si="0"/>
        <v>INSERT INTO AREA VALUES ('NEUMOLOGÍA','8','13');</v>
      </c>
    </row>
    <row r="13" spans="3:8" ht="15" customHeight="1" x14ac:dyDescent="0.25">
      <c r="C13" s="36" t="s">
        <v>362</v>
      </c>
      <c r="D13" s="50">
        <v>9</v>
      </c>
      <c r="E13" s="41">
        <f>RandomSelection(CARGO!$D$5:$D$22)</f>
        <v>8</v>
      </c>
      <c r="H13" s="4" t="str">
        <f t="shared" si="0"/>
        <v>INSERT INTO AREA VALUES ('ONCOLOGÍA','9','8');</v>
      </c>
    </row>
    <row r="14" spans="3:8" ht="15" customHeight="1" x14ac:dyDescent="0.25">
      <c r="C14" s="36" t="s">
        <v>363</v>
      </c>
      <c r="D14" s="50">
        <v>10</v>
      </c>
      <c r="E14" s="41">
        <f>RandomSelection(CARGO!$D$5:$D$22)</f>
        <v>14</v>
      </c>
      <c r="H14" s="4" t="str">
        <f t="shared" si="0"/>
        <v>INSERT INTO AREA VALUES ('PEDIATRÍA/NEONATOLOGÍA','10','14');</v>
      </c>
    </row>
    <row r="15" spans="3:8" ht="15" customHeight="1" x14ac:dyDescent="0.25">
      <c r="C15" s="36" t="s">
        <v>364</v>
      </c>
      <c r="D15" s="50">
        <v>11</v>
      </c>
      <c r="E15" s="41">
        <f>RandomSelection(CARGO!$D$5:$D$22)</f>
        <v>8</v>
      </c>
      <c r="H15" s="4" t="str">
        <f t="shared" si="0"/>
        <v>INSERT INTO AREA VALUES ('REHABILITACIÓN','11','8');</v>
      </c>
    </row>
    <row r="16" spans="3:8" ht="15" customHeight="1" x14ac:dyDescent="0.25">
      <c r="C16" s="36" t="s">
        <v>365</v>
      </c>
      <c r="D16" s="50">
        <v>12</v>
      </c>
      <c r="E16" s="41">
        <f>RandomSelection(CARGO!$D$5:$D$22)</f>
        <v>11</v>
      </c>
      <c r="H16" s="4" t="str">
        <f t="shared" si="0"/>
        <v>INSERT INTO AREA VALUES ('URGENCIAS','12','11');</v>
      </c>
    </row>
    <row r="17" spans="3:8" ht="15" customHeight="1" x14ac:dyDescent="0.25">
      <c r="C17" s="36" t="s">
        <v>344</v>
      </c>
      <c r="D17" s="50">
        <v>13</v>
      </c>
      <c r="E17" s="41">
        <f>RandomSelection(CARGO!$D$5:$D$22)</f>
        <v>14</v>
      </c>
      <c r="H17" s="4" t="str">
        <f t="shared" si="0"/>
        <v>INSERT INTO AREA VALUES ('CIRUGÍA GENERAL Y DIGESTIVA','13','14');</v>
      </c>
    </row>
    <row r="18" spans="3:8" ht="15" customHeight="1" x14ac:dyDescent="0.25">
      <c r="C18" s="36" t="s">
        <v>347</v>
      </c>
      <c r="D18" s="50">
        <v>14</v>
      </c>
      <c r="E18" s="41">
        <f>RandomSelection(CARGO!$D$5:$D$22)</f>
        <v>14</v>
      </c>
      <c r="H18" s="4" t="str">
        <f t="shared" si="0"/>
        <v>INSERT INTO AREA VALUES ('CIRUGÍA ORTOPÉDICA Y TRAUMATOLOGÍA','14','14');</v>
      </c>
    </row>
    <row r="19" spans="3:8" ht="15" customHeight="1" x14ac:dyDescent="0.25">
      <c r="C19" s="36" t="s">
        <v>350</v>
      </c>
      <c r="D19" s="50">
        <v>15</v>
      </c>
      <c r="E19" s="41">
        <f>RandomSelection(CARGO!$D$5:$D$22)</f>
        <v>18</v>
      </c>
      <c r="H19" s="4" t="str">
        <f t="shared" si="0"/>
        <v>INSERT INTO AREA VALUES ('DERMATOLOGÍA','15','18');</v>
      </c>
    </row>
    <row r="20" spans="3:8" ht="15" customHeight="1" x14ac:dyDescent="0.25">
      <c r="C20" s="36" t="s">
        <v>353</v>
      </c>
      <c r="D20" s="50">
        <v>16</v>
      </c>
      <c r="E20" s="41">
        <f>RandomSelection(CARGO!$D$5:$D$22)</f>
        <v>17</v>
      </c>
      <c r="H20" s="4" t="str">
        <f t="shared" si="0"/>
        <v>INSERT INTO AREA VALUES ('GINECOLOGÍA Y OBSTETRICIA','16','17');</v>
      </c>
    </row>
    <row r="21" spans="3:8" ht="15.75" customHeight="1" x14ac:dyDescent="0.25">
      <c r="C21" s="36" t="s">
        <v>356</v>
      </c>
      <c r="D21" s="50">
        <v>17</v>
      </c>
      <c r="E21" s="41">
        <f>RandomSelection(CARGO!$D$5:$D$22)</f>
        <v>18</v>
      </c>
      <c r="H21" s="4" t="str">
        <f t="shared" si="0"/>
        <v>INSERT INTO AREA VALUES ('OFTALMOLOGÍA','17','18');</v>
      </c>
    </row>
    <row r="22" spans="3:8" ht="15.75" customHeight="1" x14ac:dyDescent="0.25">
      <c r="C22" s="36" t="s">
        <v>358</v>
      </c>
      <c r="D22" s="50">
        <v>18</v>
      </c>
      <c r="E22" s="41">
        <f>RandomSelection(CARGO!$D$5:$D$22)</f>
        <v>9</v>
      </c>
      <c r="H22" s="4" t="str">
        <f t="shared" si="0"/>
        <v>INSERT INTO AREA VALUES ('OTORRINOLARIONGOLOGÍA','18','9');</v>
      </c>
    </row>
    <row r="23" spans="3:8" ht="15.75" customHeight="1" x14ac:dyDescent="0.25">
      <c r="C23" s="36" t="s">
        <v>360</v>
      </c>
      <c r="D23" s="50">
        <v>19</v>
      </c>
      <c r="E23" s="41">
        <f>RandomSelection(CARGO!$D$5:$D$22)</f>
        <v>6</v>
      </c>
      <c r="H23" s="4" t="str">
        <f t="shared" si="0"/>
        <v>INSERT INTO AREA VALUES ('UROLOGÍA','19','6');</v>
      </c>
    </row>
    <row r="24" spans="3:8" ht="15.75" customHeight="1" x14ac:dyDescent="0.25">
      <c r="C24" s="36" t="s">
        <v>345</v>
      </c>
      <c r="D24" s="50">
        <v>20</v>
      </c>
      <c r="E24" s="41">
        <f>RandomSelection(CARGO!$D$5:$D$22)</f>
        <v>16</v>
      </c>
      <c r="H24" s="4" t="str">
        <f t="shared" si="0"/>
        <v>INSERT INTO AREA VALUES ('LABORATORIOS CLÍNICOS','20','16');</v>
      </c>
    </row>
    <row r="25" spans="3:8" ht="15.75" customHeight="1" x14ac:dyDescent="0.25">
      <c r="C25" s="36" t="s">
        <v>348</v>
      </c>
      <c r="D25" s="50">
        <v>21</v>
      </c>
      <c r="E25" s="41">
        <f>RandomSelection(CARGO!$D$5:$D$22)</f>
        <v>18</v>
      </c>
      <c r="H25" s="4" t="str">
        <f t="shared" si="0"/>
        <v>INSERT INTO AREA VALUES ('RADIODIAGNÓSTICO','21','18');</v>
      </c>
    </row>
    <row r="26" spans="3:8" ht="15.75" customHeight="1" x14ac:dyDescent="0.25">
      <c r="C26" s="36" t="s">
        <v>351</v>
      </c>
      <c r="D26" s="50">
        <v>22</v>
      </c>
      <c r="E26" s="41">
        <f>RandomSelection(CARGO!$D$5:$D$22)</f>
        <v>9</v>
      </c>
      <c r="H26" s="4" t="str">
        <f t="shared" si="0"/>
        <v>INSERT INTO AREA VALUES ('FARMACIA','22','9');</v>
      </c>
    </row>
    <row r="27" spans="3:8" ht="15.75" customHeight="1" x14ac:dyDescent="0.25">
      <c r="C27" s="36" t="s">
        <v>354</v>
      </c>
      <c r="D27" s="50">
        <v>23</v>
      </c>
      <c r="E27" s="41">
        <f>RandomSelection(CARGO!$D$5:$D$22)</f>
        <v>17</v>
      </c>
      <c r="H27" s="4" t="str">
        <f t="shared" si="0"/>
        <v>INSERT INTO AREA VALUES ('MEDICINA PREVENTIVA','23','17');</v>
      </c>
    </row>
    <row r="28" spans="3:8" ht="15.75" customHeight="1" x14ac:dyDescent="0.25">
      <c r="H28" s="20"/>
    </row>
    <row r="29" spans="3:8" ht="15.75" customHeight="1" x14ac:dyDescent="0.25">
      <c r="H29" s="20"/>
    </row>
    <row r="30" spans="3:8" ht="15.75" customHeight="1" x14ac:dyDescent="0.25">
      <c r="H30" s="20"/>
    </row>
    <row r="31" spans="3:8" ht="15.75" customHeight="1" x14ac:dyDescent="0.25">
      <c r="H31" s="20" t="s">
        <v>824</v>
      </c>
    </row>
    <row r="32" spans="3:8" ht="15.75" customHeight="1" x14ac:dyDescent="0.25">
      <c r="H32" s="20" t="s">
        <v>825</v>
      </c>
    </row>
    <row r="33" spans="8:8" ht="15.75" customHeight="1" x14ac:dyDescent="0.25">
      <c r="H33" s="20" t="s">
        <v>826</v>
      </c>
    </row>
    <row r="34" spans="8:8" ht="15.75" customHeight="1" x14ac:dyDescent="0.25">
      <c r="H34" s="20" t="s">
        <v>827</v>
      </c>
    </row>
    <row r="35" spans="8:8" ht="15.75" customHeight="1" x14ac:dyDescent="0.25">
      <c r="H35" s="20" t="s">
        <v>828</v>
      </c>
    </row>
    <row r="36" spans="8:8" ht="15.75" customHeight="1" x14ac:dyDescent="0.25">
      <c r="H36" s="20" t="s">
        <v>829</v>
      </c>
    </row>
    <row r="37" spans="8:8" ht="15.75" customHeight="1" x14ac:dyDescent="0.25">
      <c r="H37" s="20" t="s">
        <v>830</v>
      </c>
    </row>
    <row r="38" spans="8:8" ht="15.75" customHeight="1" x14ac:dyDescent="0.25">
      <c r="H38" s="20" t="s">
        <v>831</v>
      </c>
    </row>
    <row r="39" spans="8:8" ht="15.75" customHeight="1" x14ac:dyDescent="0.25">
      <c r="H39" s="20" t="s">
        <v>832</v>
      </c>
    </row>
    <row r="40" spans="8:8" ht="15.75" customHeight="1" x14ac:dyDescent="0.25">
      <c r="H40" s="20" t="s">
        <v>833</v>
      </c>
    </row>
    <row r="41" spans="8:8" ht="15.75" customHeight="1" x14ac:dyDescent="0.2">
      <c r="H41" t="s">
        <v>834</v>
      </c>
    </row>
    <row r="42" spans="8:8" ht="15.75" customHeight="1" x14ac:dyDescent="0.2">
      <c r="H42" t="s">
        <v>835</v>
      </c>
    </row>
    <row r="43" spans="8:8" ht="15.75" customHeight="1" x14ac:dyDescent="0.2">
      <c r="H43" t="s">
        <v>836</v>
      </c>
    </row>
    <row r="44" spans="8:8" ht="15.75" customHeight="1" x14ac:dyDescent="0.2">
      <c r="H44" t="s">
        <v>837</v>
      </c>
    </row>
    <row r="45" spans="8:8" ht="15.75" customHeight="1" x14ac:dyDescent="0.2">
      <c r="H45" t="s">
        <v>838</v>
      </c>
    </row>
    <row r="46" spans="8:8" ht="15.75" customHeight="1" x14ac:dyDescent="0.2">
      <c r="H46" t="s">
        <v>839</v>
      </c>
    </row>
    <row r="47" spans="8:8" ht="15.75" customHeight="1" x14ac:dyDescent="0.2">
      <c r="H47" t="s">
        <v>840</v>
      </c>
    </row>
    <row r="48" spans="8:8" ht="15.75" customHeight="1" x14ac:dyDescent="0.2">
      <c r="H48" t="s">
        <v>841</v>
      </c>
    </row>
    <row r="49" spans="8:8" ht="15.75" customHeight="1" x14ac:dyDescent="0.2">
      <c r="H49" t="s">
        <v>842</v>
      </c>
    </row>
    <row r="50" spans="8:8" ht="15.75" customHeight="1" x14ac:dyDescent="0.2">
      <c r="H50" t="s">
        <v>843</v>
      </c>
    </row>
    <row r="51" spans="8:8" ht="15.75" customHeight="1" x14ac:dyDescent="0.2">
      <c r="H51" t="s">
        <v>844</v>
      </c>
    </row>
    <row r="52" spans="8:8" ht="15.75" customHeight="1" x14ac:dyDescent="0.2">
      <c r="H52" t="s">
        <v>845</v>
      </c>
    </row>
    <row r="53" spans="8:8" ht="15.75" customHeight="1" x14ac:dyDescent="0.2">
      <c r="H53" t="s">
        <v>846</v>
      </c>
    </row>
    <row r="54" spans="8:8" ht="15.75" customHeight="1" x14ac:dyDescent="0.2"/>
    <row r="55" spans="8:8" ht="15.75" customHeight="1" x14ac:dyDescent="0.2"/>
    <row r="56" spans="8:8" ht="15.75" customHeight="1" x14ac:dyDescent="0.2"/>
    <row r="57" spans="8:8" ht="15.75" customHeight="1" x14ac:dyDescent="0.2"/>
    <row r="58" spans="8:8" ht="15.75" customHeight="1" x14ac:dyDescent="0.2"/>
    <row r="59" spans="8:8" ht="15.75" customHeight="1" x14ac:dyDescent="0.2"/>
    <row r="60" spans="8:8" ht="15.75" customHeight="1" x14ac:dyDescent="0.2"/>
    <row r="61" spans="8:8" ht="15.75" customHeight="1" x14ac:dyDescent="0.2"/>
    <row r="62" spans="8:8" ht="15.75" customHeight="1" x14ac:dyDescent="0.2"/>
    <row r="63" spans="8:8" ht="15.75" customHeight="1" x14ac:dyDescent="0.2"/>
    <row r="64" spans="8:8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mergeCells count="1">
    <mergeCell ref="C3:E3"/>
  </mergeCells>
  <phoneticPr fontId="30" type="noConversion"/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S1000"/>
  <sheetViews>
    <sheetView topLeftCell="M13" zoomScale="130" zoomScaleNormal="130" workbookViewId="0">
      <selection activeCell="S29" sqref="S29:S48"/>
    </sheetView>
  </sheetViews>
  <sheetFormatPr baseColWidth="10" defaultColWidth="12.625" defaultRowHeight="15" customHeight="1" x14ac:dyDescent="0.2"/>
  <cols>
    <col min="2" max="2" width="9.375" customWidth="1"/>
    <col min="3" max="3" width="14.125" customWidth="1"/>
    <col min="4" max="4" width="18.75" bestFit="1" customWidth="1"/>
    <col min="5" max="5" width="10.375" customWidth="1"/>
    <col min="6" max="6" width="21.125" customWidth="1"/>
    <col min="7" max="7" width="10.625" customWidth="1"/>
    <col min="8" max="8" width="10.875" bestFit="1" customWidth="1"/>
    <col min="9" max="9" width="13" customWidth="1"/>
    <col min="10" max="10" width="14.125" customWidth="1"/>
    <col min="11" max="11" width="10.875" bestFit="1" customWidth="1"/>
    <col min="12" max="12" width="9.375" customWidth="1"/>
    <col min="13" max="13" width="11.75" customWidth="1"/>
    <col min="14" max="14" width="15.75" bestFit="1" customWidth="1"/>
    <col min="15" max="15" width="11.875" bestFit="1" customWidth="1"/>
    <col min="16" max="16" width="6.375" bestFit="1" customWidth="1"/>
    <col min="17" max="17" width="7.375" bestFit="1" customWidth="1"/>
    <col min="18" max="28" width="9.375" customWidth="1"/>
  </cols>
  <sheetData>
    <row r="1" spans="1:19" ht="15" customHeight="1" x14ac:dyDescent="0.25">
      <c r="A1" s="5" t="s">
        <v>0</v>
      </c>
    </row>
    <row r="2" spans="1:19" ht="15" customHeight="1" x14ac:dyDescent="0.25">
      <c r="A2" s="6" t="s">
        <v>1</v>
      </c>
    </row>
    <row r="3" spans="1:19" x14ac:dyDescent="0.25">
      <c r="C3" s="56" t="s">
        <v>2</v>
      </c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8"/>
    </row>
    <row r="4" spans="1:19" x14ac:dyDescent="0.25">
      <c r="C4" s="8" t="s">
        <v>287</v>
      </c>
      <c r="D4" s="8" t="s">
        <v>286</v>
      </c>
      <c r="E4" s="8" t="s">
        <v>481</v>
      </c>
      <c r="F4" s="8" t="s">
        <v>288</v>
      </c>
      <c r="G4" s="8" t="s">
        <v>289</v>
      </c>
      <c r="H4" s="8" t="s">
        <v>322</v>
      </c>
      <c r="I4" s="8" t="s">
        <v>323</v>
      </c>
      <c r="J4" s="8" t="s">
        <v>324</v>
      </c>
      <c r="K4" s="8" t="s">
        <v>325</v>
      </c>
      <c r="L4" s="8" t="s">
        <v>326</v>
      </c>
      <c r="M4" s="33" t="s">
        <v>285</v>
      </c>
      <c r="N4" s="8" t="s">
        <v>327</v>
      </c>
      <c r="O4" s="9" t="s">
        <v>328</v>
      </c>
      <c r="P4" s="9" t="s">
        <v>329</v>
      </c>
      <c r="Q4" s="9" t="s">
        <v>330</v>
      </c>
    </row>
    <row r="5" spans="1:19" x14ac:dyDescent="0.25">
      <c r="C5" s="10" t="s">
        <v>302</v>
      </c>
      <c r="D5" s="34" t="s">
        <v>6</v>
      </c>
      <c r="E5" s="11" t="s">
        <v>4</v>
      </c>
      <c r="F5" s="10">
        <v>32115858</v>
      </c>
      <c r="G5" s="35" t="s">
        <v>290</v>
      </c>
      <c r="H5" t="s">
        <v>301</v>
      </c>
      <c r="I5" s="42" t="s">
        <v>373</v>
      </c>
      <c r="J5" s="10" t="s">
        <v>3</v>
      </c>
      <c r="K5" s="10">
        <v>957417772</v>
      </c>
      <c r="L5" s="42" t="s">
        <v>374</v>
      </c>
      <c r="M5" s="36">
        <v>8151</v>
      </c>
      <c r="N5" s="3" t="str">
        <f>"Titulo "&amp;H5</f>
        <v>Titulo Universitario</v>
      </c>
      <c r="O5" s="10">
        <v>1</v>
      </c>
      <c r="P5" s="10">
        <f>RandomSelection(SEDE!$D$5:$D$14)</f>
        <v>4</v>
      </c>
      <c r="Q5" s="10">
        <f>RandomSelection(AREA!$D$5:$D$21)</f>
        <v>15</v>
      </c>
      <c r="S5" s="4" t="str">
        <f>"INSERT INTO APLICANTES VALUES ('"&amp;C5&amp;"','"&amp;D5&amp;"','"&amp;E5&amp;"','"&amp;F5&amp;"','"&amp;G5&amp;"','"&amp;H5&amp;"','"&amp;I5&amp;"','"&amp;J5&amp;"','"&amp;K5&amp;"','"&amp;L5&amp;"','"&amp;M5&amp;"','"&amp;N5&amp;"','"&amp;O5&amp;"','"&amp;P5&amp;"','"&amp;Q5&amp;"');"</f>
        <v>INSERT INTO APLICANTES VALUES ('AROCAS PASADAS','africa@altecom.es','CALLE ROMA 371 - 375','32115858','5 Años','Universitario','MUCHAS','ESTEFANIA','957417772','ASCENDER','8151','Titulo Universitario','1','4','15');</v>
      </c>
    </row>
    <row r="6" spans="1:19" x14ac:dyDescent="0.25">
      <c r="A6" t="s">
        <v>300</v>
      </c>
      <c r="C6" s="10" t="s">
        <v>303</v>
      </c>
      <c r="D6" s="34" t="s">
        <v>9</v>
      </c>
      <c r="E6" s="11" t="s">
        <v>8</v>
      </c>
      <c r="F6" s="10">
        <v>47823588</v>
      </c>
      <c r="G6" s="35" t="s">
        <v>290</v>
      </c>
      <c r="H6" t="s">
        <v>301</v>
      </c>
      <c r="I6" s="42" t="s">
        <v>373</v>
      </c>
      <c r="J6" s="10" t="s">
        <v>7</v>
      </c>
      <c r="K6" s="10">
        <v>985594212</v>
      </c>
      <c r="L6" s="42" t="s">
        <v>374</v>
      </c>
      <c r="M6" s="36">
        <v>7687</v>
      </c>
      <c r="N6" s="3" t="str">
        <f>"Titulo "&amp;H6</f>
        <v>Titulo Universitario</v>
      </c>
      <c r="O6" s="10">
        <v>2</v>
      </c>
      <c r="P6" s="10">
        <f>RandomSelection(SEDE!$D$5:$D$14)</f>
        <v>6</v>
      </c>
      <c r="Q6" s="10">
        <f>RandomSelection(AREA!$D$5:$D$21)</f>
        <v>17</v>
      </c>
      <c r="S6" s="4" t="str">
        <f t="shared" ref="S6:S24" si="0">"INSERT INTO APLICANTES VALUES ('"&amp;C6&amp;"','"&amp;D6&amp;"','"&amp;E6&amp;"','"&amp;F6&amp;"','"&amp;G6&amp;"','"&amp;H6&amp;"','"&amp;I6&amp;"','"&amp;J6&amp;"','"&amp;K6&amp;"','"&amp;L6&amp;"','"&amp;M6&amp;"','"&amp;N6&amp;"','"&amp;O6&amp;"','"&amp;P6&amp;"','"&amp;Q6&amp;"');"</f>
        <v>INSERT INTO APLICANTES VALUES ('VISO GILABERT','agata@hotmail.com','AV. PASEO DE LA REPUBLICA 291 INT. 1803','47823588','5 Años','Universitario','MUCHAS','QUERALT','985594212','ASCENDER','7687','Titulo Universitario','2','6','17');</v>
      </c>
    </row>
    <row r="7" spans="1:19" x14ac:dyDescent="0.25">
      <c r="A7" t="s">
        <v>301</v>
      </c>
      <c r="C7" s="10" t="s">
        <v>304</v>
      </c>
      <c r="D7" s="34" t="s">
        <v>13</v>
      </c>
      <c r="E7" s="11" t="s">
        <v>11</v>
      </c>
      <c r="F7" s="10">
        <v>10925766</v>
      </c>
      <c r="G7" s="35" t="s">
        <v>291</v>
      </c>
      <c r="H7" t="s">
        <v>301</v>
      </c>
      <c r="I7" s="42" t="s">
        <v>373</v>
      </c>
      <c r="J7" s="10" t="s">
        <v>10</v>
      </c>
      <c r="K7" s="10">
        <v>989332112</v>
      </c>
      <c r="L7" s="42" t="s">
        <v>374</v>
      </c>
      <c r="M7" s="36">
        <v>4342</v>
      </c>
      <c r="N7" s="3" t="str">
        <f>"Titulo "&amp;H7</f>
        <v>Titulo Universitario</v>
      </c>
      <c r="O7" s="10">
        <v>3</v>
      </c>
      <c r="P7" s="10">
        <f>RandomSelection(SEDE!$D$5:$D$14)</f>
        <v>4</v>
      </c>
      <c r="Q7" s="10">
        <f>RandomSelection(AREA!$D$5:$D$21)</f>
        <v>2</v>
      </c>
      <c r="S7" s="4" t="str">
        <f t="shared" si="0"/>
        <v>INSERT INTO APLICANTES VALUES ('AYALA FERRERAS','curie@minorisa.es','CALLE RAMON RIBEYRO 264 URB. SAN ANTONIO','10925766','12 Años','Universitario','MUCHAS','JOAN','989332112','ASCENDER','4342','Titulo Universitario','3','4','2');</v>
      </c>
    </row>
    <row r="8" spans="1:19" x14ac:dyDescent="0.25">
      <c r="C8" s="10" t="s">
        <v>305</v>
      </c>
      <c r="D8" s="34" t="s">
        <v>16</v>
      </c>
      <c r="E8" s="11" t="s">
        <v>14</v>
      </c>
      <c r="F8" s="10">
        <v>39554565</v>
      </c>
      <c r="G8" s="35" t="s">
        <v>292</v>
      </c>
      <c r="H8" t="s">
        <v>301</v>
      </c>
      <c r="I8" s="42" t="s">
        <v>373</v>
      </c>
      <c r="J8" s="10" t="s">
        <v>10</v>
      </c>
      <c r="K8" s="10">
        <v>982913271</v>
      </c>
      <c r="L8" s="42" t="s">
        <v>374</v>
      </c>
      <c r="M8" s="36">
        <v>2294</v>
      </c>
      <c r="N8" s="3" t="str">
        <f>"Titulo "&amp;H8</f>
        <v>Titulo Universitario</v>
      </c>
      <c r="O8" s="10">
        <v>4</v>
      </c>
      <c r="P8" s="10">
        <f>RandomSelection(SEDE!$D$5:$D$14)</f>
        <v>8</v>
      </c>
      <c r="Q8" s="10">
        <f>RandomSelection(AREA!$D$5:$D$21)</f>
        <v>6</v>
      </c>
      <c r="S8" s="4" t="str">
        <f t="shared" si="0"/>
        <v>INSERT INTO APLICANTES VALUES ('BAEZ TEJADO','albatros@wandoo.es','AV. SANTA CATALINA 529 - LA VICTORIA','39554565','14 Años','Universitario','MUCHAS','JOAN','982913271','ASCENDER','2294','Titulo Universitario','4','8','6');</v>
      </c>
    </row>
    <row r="9" spans="1:19" x14ac:dyDescent="0.25">
      <c r="C9" s="10" t="s">
        <v>306</v>
      </c>
      <c r="D9" s="34" t="s">
        <v>19</v>
      </c>
      <c r="E9" s="11" t="s">
        <v>18</v>
      </c>
      <c r="F9" s="10">
        <v>66651992</v>
      </c>
      <c r="G9" s="35" t="s">
        <v>293</v>
      </c>
      <c r="H9" t="s">
        <v>301</v>
      </c>
      <c r="I9" s="42" t="s">
        <v>373</v>
      </c>
      <c r="J9" s="10" t="s">
        <v>17</v>
      </c>
      <c r="K9" s="10">
        <v>953290587</v>
      </c>
      <c r="L9" s="42" t="s">
        <v>374</v>
      </c>
      <c r="M9" s="36">
        <v>4706</v>
      </c>
      <c r="N9" s="3" t="str">
        <f>"Titulo "&amp;H9</f>
        <v>Titulo Universitario</v>
      </c>
      <c r="O9" s="10">
        <v>5</v>
      </c>
      <c r="P9" s="10">
        <f>RandomSelection(SEDE!$D$5:$D$14)</f>
        <v>10</v>
      </c>
      <c r="Q9" s="10">
        <f>RandomSelection(AREA!$D$5:$D$21)</f>
        <v>10</v>
      </c>
      <c r="S9" s="4" t="str">
        <f t="shared" si="0"/>
        <v>INSERT INTO APLICANTES VALUES ('BASTARDES SOTO','albert@intercom.es','AV. SANTO TORIBIO 143 (6TO. PISO) EDIFICIO STO. TORIBIO','66651992','9 Años','Universitario','MUCHAS','MARC','953290587','ASCENDER','4706','Titulo Universitario','5','10','10');</v>
      </c>
    </row>
    <row r="10" spans="1:19" x14ac:dyDescent="0.25">
      <c r="C10" s="10" t="s">
        <v>307</v>
      </c>
      <c r="D10" s="34" t="s">
        <v>23</v>
      </c>
      <c r="E10" s="11" t="s">
        <v>21</v>
      </c>
      <c r="F10" s="10">
        <v>11581010</v>
      </c>
      <c r="G10" s="35" t="s">
        <v>294</v>
      </c>
      <c r="H10" t="s">
        <v>301</v>
      </c>
      <c r="I10" s="42" t="s">
        <v>373</v>
      </c>
      <c r="J10" s="10" t="s">
        <v>20</v>
      </c>
      <c r="K10" s="10">
        <v>948089237</v>
      </c>
      <c r="L10" s="42" t="s">
        <v>374</v>
      </c>
      <c r="M10" s="36">
        <v>1351</v>
      </c>
      <c r="N10" s="3" t="str">
        <f>"Titulo "&amp;H10</f>
        <v>Titulo Universitario</v>
      </c>
      <c r="O10" s="10">
        <v>6</v>
      </c>
      <c r="P10" s="10">
        <f>RandomSelection(SEDE!$D$5:$D$14)</f>
        <v>10</v>
      </c>
      <c r="Q10" s="10">
        <f>RandomSelection(AREA!$D$5:$D$21)</f>
        <v>2</v>
      </c>
      <c r="S10" s="4" t="str">
        <f t="shared" si="0"/>
        <v>INSERT INTO APLICANTES VALUES ('ANGUERA VILAFRANCA','alien@intercom.es','JR. CARABAYA 560 OF. 04 (2DO. PISO)','11581010','2 Años','Universitario','MUCHAS','JOSEP','948089237','ASCENDER','1351','Titulo Universitario','6','10','2');</v>
      </c>
    </row>
    <row r="11" spans="1:19" x14ac:dyDescent="0.25">
      <c r="C11" s="10" t="s">
        <v>308</v>
      </c>
      <c r="D11" s="34" t="s">
        <v>25</v>
      </c>
      <c r="E11" s="11" t="s">
        <v>21</v>
      </c>
      <c r="F11" s="10">
        <v>48410763</v>
      </c>
      <c r="G11" s="35" t="s">
        <v>290</v>
      </c>
      <c r="H11" t="s">
        <v>301</v>
      </c>
      <c r="I11" s="42" t="s">
        <v>373</v>
      </c>
      <c r="J11" s="10" t="s">
        <v>24</v>
      </c>
      <c r="K11" s="10">
        <v>906895973</v>
      </c>
      <c r="L11" s="42" t="s">
        <v>374</v>
      </c>
      <c r="M11" s="36">
        <v>7024</v>
      </c>
      <c r="N11" s="3" t="str">
        <f>"Titulo "&amp;H11</f>
        <v>Titulo Universitario</v>
      </c>
      <c r="O11" s="10">
        <v>7</v>
      </c>
      <c r="P11" s="10">
        <f>RandomSelection(SEDE!$D$5:$D$14)</f>
        <v>3</v>
      </c>
      <c r="Q11" s="10">
        <f>RandomSelection(AREA!$D$5:$D$21)</f>
        <v>8</v>
      </c>
      <c r="S11" s="4" t="str">
        <f t="shared" si="0"/>
        <v>INSERT INTO APLICANTES VALUES ('PASCUAL ALOY','amores@hotmail.com','JR. CARABAYA 560 OF. 04 (2DO. PISO)','48410763','5 Años','Universitario','MUCHAS','ESTHER','906895973','ASCENDER','7024','Titulo Universitario','7','3','8');</v>
      </c>
    </row>
    <row r="12" spans="1:19" x14ac:dyDescent="0.25">
      <c r="C12" s="10" t="s">
        <v>309</v>
      </c>
      <c r="D12" s="34" t="s">
        <v>28</v>
      </c>
      <c r="E12" s="11" t="s">
        <v>27</v>
      </c>
      <c r="F12" s="10">
        <v>44084400</v>
      </c>
      <c r="G12" s="35" t="s">
        <v>291</v>
      </c>
      <c r="H12" t="s">
        <v>301</v>
      </c>
      <c r="I12" s="42" t="s">
        <v>373</v>
      </c>
      <c r="J12" s="10" t="s">
        <v>26</v>
      </c>
      <c r="K12" s="10">
        <v>989564627</v>
      </c>
      <c r="L12" s="42" t="s">
        <v>374</v>
      </c>
      <c r="M12" s="36">
        <v>5581</v>
      </c>
      <c r="N12" s="3" t="str">
        <f>"Titulo "&amp;H12</f>
        <v>Titulo Universitario</v>
      </c>
      <c r="O12" s="10">
        <v>8</v>
      </c>
      <c r="P12" s="10">
        <f>RandomSelection(SEDE!$D$5:$D$14)</f>
        <v>1</v>
      </c>
      <c r="Q12" s="10">
        <f>RandomSelection(AREA!$D$5:$D$21)</f>
        <v>7</v>
      </c>
      <c r="S12" s="4" t="str">
        <f t="shared" si="0"/>
        <v>INSERT INTO APLICANTES VALUES ('VALLÉS GIRVENT','anabel@altecom.es','CALLE ALCALA 350 - URB. LA CASTELLANA (OVALO HIGUERETA)','44084400','12 Años','Universitario','MUCHAS','LAURA','989564627','ASCENDER','5581','Titulo Universitario','8','1','7');</v>
      </c>
    </row>
    <row r="13" spans="1:19" x14ac:dyDescent="0.25">
      <c r="C13" s="10" t="s">
        <v>310</v>
      </c>
      <c r="D13" s="34" t="s">
        <v>32</v>
      </c>
      <c r="E13" s="11" t="s">
        <v>30</v>
      </c>
      <c r="F13" s="10">
        <v>34370353</v>
      </c>
      <c r="G13" s="35" t="s">
        <v>291</v>
      </c>
      <c r="H13" t="s">
        <v>301</v>
      </c>
      <c r="I13" s="42" t="s">
        <v>373</v>
      </c>
      <c r="J13" s="10" t="s">
        <v>29</v>
      </c>
      <c r="K13" s="10">
        <v>916491387</v>
      </c>
      <c r="L13" s="42" t="s">
        <v>374</v>
      </c>
      <c r="M13" s="36">
        <v>8881</v>
      </c>
      <c r="N13" s="3" t="str">
        <f>"Titulo "&amp;H13</f>
        <v>Titulo Universitario</v>
      </c>
      <c r="O13" s="10">
        <v>9</v>
      </c>
      <c r="P13" s="10">
        <f>RandomSelection(SEDE!$D$5:$D$14)</f>
        <v>2</v>
      </c>
      <c r="Q13" s="10">
        <f>RandomSelection(AREA!$D$5:$D$21)</f>
        <v>1</v>
      </c>
      <c r="S13" s="4" t="str">
        <f t="shared" si="0"/>
        <v>INSERT INTO APLICANTES VALUES ('RAYA GARCIA','antiga@minorisa.es','AV. JAVIER PRADO OESTE 2361','34370353','12 Años','Universitario','MUCHAS','RAQUEL','916491387','ASCENDER','8881','Titulo Universitario','9','2','1');</v>
      </c>
    </row>
    <row r="14" spans="1:19" x14ac:dyDescent="0.25">
      <c r="C14" s="10" t="s">
        <v>311</v>
      </c>
      <c r="D14" s="34" t="s">
        <v>34</v>
      </c>
      <c r="E14" s="11" t="s">
        <v>33</v>
      </c>
      <c r="F14" s="10">
        <v>45416063</v>
      </c>
      <c r="G14" s="35" t="s">
        <v>294</v>
      </c>
      <c r="H14" t="s">
        <v>301</v>
      </c>
      <c r="I14" s="42" t="s">
        <v>373</v>
      </c>
      <c r="J14" s="10" t="s">
        <v>10</v>
      </c>
      <c r="K14" s="10">
        <v>972123806</v>
      </c>
      <c r="L14" s="42" t="s">
        <v>374</v>
      </c>
      <c r="M14" s="36">
        <v>8365</v>
      </c>
      <c r="N14" s="3" t="str">
        <f>"Titulo "&amp;H14</f>
        <v>Titulo Universitario</v>
      </c>
      <c r="O14" s="10">
        <v>10</v>
      </c>
      <c r="P14" s="10">
        <f>RandomSelection(SEDE!$D$5:$D$14)</f>
        <v>3</v>
      </c>
      <c r="Q14" s="10">
        <f>RandomSelection(AREA!$D$5:$D$21)</f>
        <v>9</v>
      </c>
      <c r="S14" s="4" t="str">
        <f t="shared" si="0"/>
        <v>INSERT INTO APLICANTES VALUES ('ANDREU CRUZ','ballador@hotmail.com','AV. RESIDENCIAL SALAVERRY BLOCK 1 DPTO 202','45416063','2 Años','Universitario','MUCHAS','JOAN','972123806','ASCENDER','8365','Titulo Universitario','10','3','9');</v>
      </c>
    </row>
    <row r="15" spans="1:19" x14ac:dyDescent="0.25">
      <c r="C15" s="10" t="s">
        <v>312</v>
      </c>
      <c r="D15" s="34" t="s">
        <v>38</v>
      </c>
      <c r="E15" s="11" t="s">
        <v>36</v>
      </c>
      <c r="F15" s="10">
        <v>45527631</v>
      </c>
      <c r="G15" s="35" t="s">
        <v>295</v>
      </c>
      <c r="H15" t="s">
        <v>301</v>
      </c>
      <c r="I15" s="42" t="s">
        <v>373</v>
      </c>
      <c r="J15" s="10" t="s">
        <v>35</v>
      </c>
      <c r="K15" s="10">
        <v>928963249</v>
      </c>
      <c r="L15" s="42" t="s">
        <v>374</v>
      </c>
      <c r="M15" s="36">
        <v>7780</v>
      </c>
      <c r="N15" s="3" t="str">
        <f>"Titulo "&amp;H15</f>
        <v>Titulo Universitario</v>
      </c>
      <c r="O15" s="10">
        <v>11</v>
      </c>
      <c r="P15" s="10">
        <f>RandomSelection(SEDE!$D$5:$D$14)</f>
        <v>1</v>
      </c>
      <c r="Q15" s="10">
        <f>RandomSelection(AREA!$D$5:$D$21)</f>
        <v>7</v>
      </c>
      <c r="S15" s="4" t="str">
        <f t="shared" si="0"/>
        <v>INSERT INTO APLICANTES VALUES ('BARALDÉS COMAS','balladora@altecom.es','CALLE ANTEQUERA 176 OF. 302','45527631','10 Años','Universitario','MUCHAS','MARIA','928963249','ASCENDER','7780','Titulo Universitario','11','1','7');</v>
      </c>
    </row>
    <row r="16" spans="1:19" x14ac:dyDescent="0.25">
      <c r="C16" s="10" t="s">
        <v>313</v>
      </c>
      <c r="D16" s="34" t="s">
        <v>42</v>
      </c>
      <c r="E16" s="11" t="s">
        <v>40</v>
      </c>
      <c r="F16" s="10">
        <v>26666632</v>
      </c>
      <c r="G16" s="35" t="s">
        <v>290</v>
      </c>
      <c r="H16" t="s">
        <v>301</v>
      </c>
      <c r="I16" s="42" t="s">
        <v>373</v>
      </c>
      <c r="J16" s="10" t="s">
        <v>39</v>
      </c>
      <c r="K16" s="10">
        <v>954213306</v>
      </c>
      <c r="L16" s="42" t="s">
        <v>374</v>
      </c>
      <c r="M16" s="36">
        <v>2601</v>
      </c>
      <c r="N16" s="3" t="str">
        <f>"Titulo "&amp;H16</f>
        <v>Titulo Universitario</v>
      </c>
      <c r="O16" s="10">
        <v>12</v>
      </c>
      <c r="P16" s="10">
        <f>RandomSelection(SEDE!$D$5:$D$14)</f>
        <v>7</v>
      </c>
      <c r="Q16" s="10">
        <f>RandomSelection(AREA!$D$5:$D$21)</f>
        <v>14</v>
      </c>
      <c r="S16" s="4" t="str">
        <f t="shared" si="0"/>
        <v>INSERT INTO APLICANTES VALUES ('BERENGUERAS CULLERÉS','barbilla@hotmail.com','URB. VILLA VICTORIA MZ.I - LT.8 (DEPARTAMENTO 301)','26666632','5 Años','Universitario','MUCHAS','ADRIÀ','954213306','ASCENDER','2601','Titulo Universitario','12','7','14');</v>
      </c>
    </row>
    <row r="17" spans="3:19" x14ac:dyDescent="0.25">
      <c r="C17" s="10" t="s">
        <v>314</v>
      </c>
      <c r="D17" s="34" t="s">
        <v>45</v>
      </c>
      <c r="E17" s="11" t="s">
        <v>44</v>
      </c>
      <c r="F17" s="10">
        <v>41982570</v>
      </c>
      <c r="G17" s="35" t="s">
        <v>296</v>
      </c>
      <c r="H17" t="s">
        <v>301</v>
      </c>
      <c r="I17" s="42" t="s">
        <v>373</v>
      </c>
      <c r="J17" s="10" t="s">
        <v>43</v>
      </c>
      <c r="K17" s="10">
        <v>985095638</v>
      </c>
      <c r="L17" s="42" t="s">
        <v>374</v>
      </c>
      <c r="M17" s="36">
        <v>7355</v>
      </c>
      <c r="N17" s="3" t="str">
        <f>"Titulo "&amp;H17</f>
        <v>Titulo Universitario</v>
      </c>
      <c r="O17" s="10">
        <v>13</v>
      </c>
      <c r="P17" s="10">
        <f>RandomSelection(SEDE!$D$5:$D$14)</f>
        <v>9</v>
      </c>
      <c r="Q17" s="10">
        <f>RandomSelection(AREA!$D$5:$D$21)</f>
        <v>6</v>
      </c>
      <c r="S17" s="4" t="str">
        <f t="shared" si="0"/>
        <v>INSERT INTO APLICANTES VALUES ('GARCIA UCEDA','besugo@minorisa.es','CALLE CORONEL ANDRES REYES NRO. 360 INT. 703 URB. JARDIN','41982570','4 Años','Universitario','MUCHAS','GERARD','985095638','ASCENDER','7355','Titulo Universitario','13','9','6');</v>
      </c>
    </row>
    <row r="18" spans="3:19" x14ac:dyDescent="0.25">
      <c r="C18" s="10" t="s">
        <v>315</v>
      </c>
      <c r="D18" s="34" t="s">
        <v>48</v>
      </c>
      <c r="E18" s="11" t="s">
        <v>47</v>
      </c>
      <c r="F18" s="10">
        <v>37345679</v>
      </c>
      <c r="G18" s="35" t="s">
        <v>290</v>
      </c>
      <c r="H18" t="s">
        <v>301</v>
      </c>
      <c r="I18" s="42" t="s">
        <v>373</v>
      </c>
      <c r="J18" s="10" t="s">
        <v>46</v>
      </c>
      <c r="K18" s="10">
        <v>936671680</v>
      </c>
      <c r="L18" s="42" t="s">
        <v>374</v>
      </c>
      <c r="M18" s="36">
        <v>1513</v>
      </c>
      <c r="N18" s="3" t="str">
        <f>"Titulo "&amp;H18</f>
        <v>Titulo Universitario</v>
      </c>
      <c r="O18" s="10">
        <v>14</v>
      </c>
      <c r="P18" s="10">
        <f>RandomSelection(SEDE!$D$5:$D$14)</f>
        <v>6</v>
      </c>
      <c r="Q18" s="10">
        <f>RandomSelection(AREA!$D$5:$D$21)</f>
        <v>10</v>
      </c>
      <c r="S18" s="4" t="str">
        <f t="shared" si="0"/>
        <v>INSERT INTO APLICANTES VALUES ('ARNAU MORENO','bogart@terra.es','CALLE PAZ SOLDAN 170 OF. 205','37345679','5 Años','Universitario','MUCHAS','ELIOT','936671680','ASCENDER','1513','Titulo Universitario','14','6','10');</v>
      </c>
    </row>
    <row r="19" spans="3:19" x14ac:dyDescent="0.25">
      <c r="C19" s="10" t="s">
        <v>316</v>
      </c>
      <c r="D19" s="34" t="s">
        <v>51</v>
      </c>
      <c r="E19" s="11" t="s">
        <v>47</v>
      </c>
      <c r="F19" s="10">
        <v>73939449</v>
      </c>
      <c r="G19" s="35" t="s">
        <v>291</v>
      </c>
      <c r="H19" t="s">
        <v>301</v>
      </c>
      <c r="I19" s="42" t="s">
        <v>373</v>
      </c>
      <c r="J19" s="10" t="s">
        <v>49</v>
      </c>
      <c r="K19" s="10">
        <v>964513987</v>
      </c>
      <c r="L19" s="42" t="s">
        <v>374</v>
      </c>
      <c r="M19" s="36">
        <v>1599</v>
      </c>
      <c r="N19" s="3" t="str">
        <f>"Titulo "&amp;H19</f>
        <v>Titulo Universitario</v>
      </c>
      <c r="O19" s="10">
        <v>15</v>
      </c>
      <c r="P19" s="10">
        <f>RandomSelection(SEDE!$D$5:$D$14)</f>
        <v>8</v>
      </c>
      <c r="Q19" s="10">
        <f>RandomSelection(AREA!$D$5:$D$21)</f>
        <v>4</v>
      </c>
      <c r="S19" s="4" t="str">
        <f t="shared" si="0"/>
        <v>INSERT INTO APLICANTES VALUES ('RAYA GAVILAN','bond@terra.es','CALLE PAZ SOLDAN 170 OF. 205','73939449','12 Años','Universitario','MUCHAS','JORDI','964513987','ASCENDER','1599','Titulo Universitario','15','8','4');</v>
      </c>
    </row>
    <row r="20" spans="3:19" x14ac:dyDescent="0.25">
      <c r="C20" s="10" t="s">
        <v>317</v>
      </c>
      <c r="D20" s="34" t="s">
        <v>55</v>
      </c>
      <c r="E20" s="11" t="s">
        <v>53</v>
      </c>
      <c r="F20" s="10">
        <v>48938133</v>
      </c>
      <c r="G20" s="35" t="s">
        <v>297</v>
      </c>
      <c r="H20" t="s">
        <v>301</v>
      </c>
      <c r="I20" s="42" t="s">
        <v>373</v>
      </c>
      <c r="J20" s="10" t="s">
        <v>52</v>
      </c>
      <c r="K20" s="10">
        <v>906609997</v>
      </c>
      <c r="L20" s="42" t="s">
        <v>374</v>
      </c>
      <c r="M20" s="36">
        <v>7396</v>
      </c>
      <c r="N20" s="3" t="str">
        <f>"Titulo "&amp;H20</f>
        <v>Titulo Universitario</v>
      </c>
      <c r="O20" s="10">
        <v>16</v>
      </c>
      <c r="P20" s="10">
        <f>RandomSelection(SEDE!$D$5:$D$14)</f>
        <v>4</v>
      </c>
      <c r="Q20" s="10">
        <f>RandomSelection(AREA!$D$5:$D$21)</f>
        <v>13</v>
      </c>
      <c r="S20" s="4" t="str">
        <f t="shared" si="0"/>
        <v>INSERT INTO APLICANTES VALUES ('ZAMBUDIO FIGULS','dalí@wandoo.es','AV. AV. IGNACIO MERINO NRO. 2422 INT. 101','48938133','8 Años','Universitario','MUCHAS','LLUÍS','906609997','ASCENDER','7396','Titulo Universitario','16','4','13');</v>
      </c>
    </row>
    <row r="21" spans="3:19" ht="15.75" customHeight="1" x14ac:dyDescent="0.25">
      <c r="C21" s="10" t="s">
        <v>318</v>
      </c>
      <c r="D21" s="34" t="s">
        <v>56</v>
      </c>
      <c r="E21" s="11" t="s">
        <v>37</v>
      </c>
      <c r="F21" s="10">
        <v>27889437</v>
      </c>
      <c r="G21" s="35" t="s">
        <v>298</v>
      </c>
      <c r="H21" t="s">
        <v>301</v>
      </c>
      <c r="I21" s="42" t="s">
        <v>373</v>
      </c>
      <c r="J21" s="10" t="s">
        <v>26</v>
      </c>
      <c r="K21" s="10">
        <v>931268332</v>
      </c>
      <c r="L21" s="42" t="s">
        <v>374</v>
      </c>
      <c r="M21" s="36">
        <v>9912</v>
      </c>
      <c r="N21" s="3" t="str">
        <f>"Titulo "&amp;H21</f>
        <v>Titulo Universitario</v>
      </c>
      <c r="O21" s="10">
        <v>17</v>
      </c>
      <c r="P21" s="10">
        <f>RandomSelection(SEDE!$D$5:$D$14)</f>
        <v>6</v>
      </c>
      <c r="Q21" s="10">
        <f>RandomSelection(AREA!$D$5:$D$21)</f>
        <v>7</v>
      </c>
      <c r="S21" s="4" t="str">
        <f t="shared" si="0"/>
        <v>INSERT INTO APLICANTES VALUES ('BIDAULT CULLERÉS','cela@altecom.es','AV. 28 DE JULIO NRO. 1044 DPTO. 601 URB. SAN ANTONIO','27889437','6 Años','Universitario','MUCHAS','LAURA','931268332','ASCENDER','9912','Titulo Universitario','17','6','7');</v>
      </c>
    </row>
    <row r="22" spans="3:19" ht="15.75" customHeight="1" x14ac:dyDescent="0.25">
      <c r="C22" s="10" t="s">
        <v>319</v>
      </c>
      <c r="D22" s="34" t="s">
        <v>59</v>
      </c>
      <c r="E22" s="11" t="s">
        <v>57</v>
      </c>
      <c r="F22" s="10">
        <v>21217945</v>
      </c>
      <c r="G22" s="35" t="s">
        <v>292</v>
      </c>
      <c r="H22" t="s">
        <v>301</v>
      </c>
      <c r="I22" s="42" t="s">
        <v>373</v>
      </c>
      <c r="J22" s="10" t="s">
        <v>49</v>
      </c>
      <c r="K22" s="10">
        <v>964005079</v>
      </c>
      <c r="L22" s="42" t="s">
        <v>374</v>
      </c>
      <c r="M22" s="36">
        <v>4884</v>
      </c>
      <c r="N22" s="3" t="str">
        <f>"Titulo "&amp;H22</f>
        <v>Titulo Universitario</v>
      </c>
      <c r="O22" s="10">
        <v>18</v>
      </c>
      <c r="P22" s="10">
        <f>RandomSelection(SEDE!$D$5:$D$14)</f>
        <v>9</v>
      </c>
      <c r="Q22" s="10">
        <f>RandomSelection(AREA!$D$5:$D$21)</f>
        <v>11</v>
      </c>
      <c r="S22" s="4" t="str">
        <f t="shared" si="0"/>
        <v>INSERT INTO APLICANTES VALUES ('BIOSCA FONTANET','coco@hotmail.com','CALLE MANUEL ALMENARA #265','21217945','14 Años','Universitario','MUCHAS','JORDI','964005079','ASCENDER','4884','Titulo Universitario','18','9','11');</v>
      </c>
    </row>
    <row r="23" spans="3:19" ht="15.75" customHeight="1" x14ac:dyDescent="0.25">
      <c r="C23" s="10" t="s">
        <v>320</v>
      </c>
      <c r="D23" s="34" t="s">
        <v>61</v>
      </c>
      <c r="E23" s="11" t="s">
        <v>33</v>
      </c>
      <c r="F23" s="10">
        <v>42712351</v>
      </c>
      <c r="G23" s="35" t="s">
        <v>299</v>
      </c>
      <c r="H23" t="s">
        <v>301</v>
      </c>
      <c r="I23" s="42" t="s">
        <v>373</v>
      </c>
      <c r="J23" s="10" t="s">
        <v>60</v>
      </c>
      <c r="K23" s="10">
        <v>920466216</v>
      </c>
      <c r="L23" s="42" t="s">
        <v>374</v>
      </c>
      <c r="M23" s="36">
        <v>1398</v>
      </c>
      <c r="N23" s="3" t="str">
        <f>"Titulo "&amp;H23</f>
        <v>Titulo Universitario</v>
      </c>
      <c r="O23" s="10">
        <v>19</v>
      </c>
      <c r="P23" s="10">
        <f>RandomSelection(SEDE!$D$5:$D$14)</f>
        <v>8</v>
      </c>
      <c r="Q23" s="10">
        <f>RandomSelection(AREA!$D$5:$D$21)</f>
        <v>10</v>
      </c>
      <c r="S23" s="4" t="str">
        <f t="shared" si="0"/>
        <v>INSERT INTO APLICANTES VALUES ('ZAFRA FIGULS','conejo@minorisa.es','AV. RESIDENCIAL SALAVERRY BLOCK 1 DPTO 202','42712351','7 Años','Universitario','MUCHAS','DOUNYA','920466216','ASCENDER','1398','Titulo Universitario','19','8','10');</v>
      </c>
    </row>
    <row r="24" spans="3:19" ht="15.75" customHeight="1" x14ac:dyDescent="0.25">
      <c r="C24" s="10" t="s">
        <v>321</v>
      </c>
      <c r="D24" s="34" t="s">
        <v>65</v>
      </c>
      <c r="E24" s="11" t="s">
        <v>63</v>
      </c>
      <c r="F24" s="10">
        <v>64673201</v>
      </c>
      <c r="G24" s="35" t="s">
        <v>297</v>
      </c>
      <c r="H24" t="s">
        <v>301</v>
      </c>
      <c r="I24" s="42" t="s">
        <v>373</v>
      </c>
      <c r="J24" s="10" t="s">
        <v>62</v>
      </c>
      <c r="K24" s="10">
        <v>925439449</v>
      </c>
      <c r="L24" s="42" t="s">
        <v>374</v>
      </c>
      <c r="M24" s="36">
        <v>8486</v>
      </c>
      <c r="N24" s="3" t="str">
        <f>"Titulo "&amp;H24</f>
        <v>Titulo Universitario</v>
      </c>
      <c r="O24" s="10">
        <v>20</v>
      </c>
      <c r="P24" s="10">
        <f>RandomSelection(SEDE!$D$5:$D$14)</f>
        <v>5</v>
      </c>
      <c r="Q24" s="10">
        <f>RandomSelection(AREA!$D$5:$D$21)</f>
        <v>4</v>
      </c>
      <c r="S24" s="4" t="str">
        <f t="shared" si="0"/>
        <v>INSERT INTO APLICANTES VALUES ('ALEU ICART','corcel@altecom.es','CALLE LAS CODORNICES 285','64673201','8 Años','Universitario','MUCHAS','JULIO','925439449','ASCENDER','8486','Titulo Universitario','20','5','4');</v>
      </c>
    </row>
    <row r="25" spans="3:19" ht="15.75" customHeight="1" x14ac:dyDescent="0.2"/>
    <row r="26" spans="3:19" ht="15.75" customHeight="1" x14ac:dyDescent="0.2"/>
    <row r="27" spans="3:19" ht="15.75" customHeight="1" x14ac:dyDescent="0.2"/>
    <row r="28" spans="3:19" ht="15.75" customHeight="1" x14ac:dyDescent="0.2"/>
    <row r="29" spans="3:19" ht="15.75" customHeight="1" x14ac:dyDescent="0.25">
      <c r="S29" s="20" t="s">
        <v>482</v>
      </c>
    </row>
    <row r="30" spans="3:19" ht="15.75" customHeight="1" x14ac:dyDescent="0.25">
      <c r="S30" s="20" t="s">
        <v>483</v>
      </c>
    </row>
    <row r="31" spans="3:19" ht="15.75" customHeight="1" x14ac:dyDescent="0.25">
      <c r="S31" s="20" t="s">
        <v>484</v>
      </c>
    </row>
    <row r="32" spans="3:19" ht="15.75" customHeight="1" x14ac:dyDescent="0.25">
      <c r="S32" s="20" t="s">
        <v>485</v>
      </c>
    </row>
    <row r="33" spans="4:19" ht="15.75" customHeight="1" x14ac:dyDescent="0.25">
      <c r="S33" s="20" t="s">
        <v>486</v>
      </c>
    </row>
    <row r="34" spans="4:19" ht="15.75" customHeight="1" x14ac:dyDescent="0.25">
      <c r="S34" s="20" t="s">
        <v>487</v>
      </c>
    </row>
    <row r="35" spans="4:19" ht="15.75" customHeight="1" x14ac:dyDescent="0.25">
      <c r="S35" s="20" t="s">
        <v>488</v>
      </c>
    </row>
    <row r="36" spans="4:19" ht="15.75" customHeight="1" x14ac:dyDescent="0.25">
      <c r="S36" s="20" t="s">
        <v>489</v>
      </c>
    </row>
    <row r="37" spans="4:19" ht="15.75" customHeight="1" x14ac:dyDescent="0.25">
      <c r="S37" s="20" t="s">
        <v>490</v>
      </c>
    </row>
    <row r="38" spans="4:19" ht="15.75" customHeight="1" x14ac:dyDescent="0.25">
      <c r="S38" s="20" t="s">
        <v>491</v>
      </c>
    </row>
    <row r="39" spans="4:19" ht="15.75" customHeight="1" x14ac:dyDescent="0.25">
      <c r="S39" s="20" t="s">
        <v>492</v>
      </c>
    </row>
    <row r="40" spans="4:19" ht="15.75" customHeight="1" x14ac:dyDescent="0.25">
      <c r="S40" s="20" t="s">
        <v>493</v>
      </c>
    </row>
    <row r="41" spans="4:19" ht="15.75" customHeight="1" x14ac:dyDescent="0.25">
      <c r="S41" s="20" t="s">
        <v>494</v>
      </c>
    </row>
    <row r="42" spans="4:19" ht="15.75" customHeight="1" x14ac:dyDescent="0.25">
      <c r="S42" s="20" t="s">
        <v>495</v>
      </c>
    </row>
    <row r="43" spans="4:19" ht="15.75" customHeight="1" x14ac:dyDescent="0.25">
      <c r="S43" s="20" t="s">
        <v>496</v>
      </c>
    </row>
    <row r="44" spans="4:19" ht="15.75" customHeight="1" x14ac:dyDescent="0.25">
      <c r="S44" s="20" t="s">
        <v>497</v>
      </c>
    </row>
    <row r="45" spans="4:19" ht="15.75" customHeight="1" x14ac:dyDescent="0.25">
      <c r="S45" s="20" t="s">
        <v>498</v>
      </c>
    </row>
    <row r="46" spans="4:19" ht="15.75" customHeight="1" x14ac:dyDescent="0.25">
      <c r="S46" s="20" t="s">
        <v>499</v>
      </c>
    </row>
    <row r="47" spans="4:19" ht="15.75" customHeight="1" x14ac:dyDescent="0.25">
      <c r="D47" t="str">
        <f t="shared" ref="D47:D75" si="1">C26&amp;""&amp;B26</f>
        <v/>
      </c>
      <c r="S47" s="20" t="s">
        <v>500</v>
      </c>
    </row>
    <row r="48" spans="4:19" ht="15.75" customHeight="1" x14ac:dyDescent="0.25">
      <c r="D48" t="str">
        <f t="shared" si="1"/>
        <v/>
      </c>
      <c r="S48" s="20" t="s">
        <v>501</v>
      </c>
    </row>
    <row r="49" spans="4:4" ht="15.75" customHeight="1" x14ac:dyDescent="0.2">
      <c r="D49" t="str">
        <f t="shared" si="1"/>
        <v/>
      </c>
    </row>
    <row r="50" spans="4:4" ht="15.75" customHeight="1" x14ac:dyDescent="0.2">
      <c r="D50" t="str">
        <f t="shared" si="1"/>
        <v/>
      </c>
    </row>
    <row r="51" spans="4:4" ht="15.75" customHeight="1" x14ac:dyDescent="0.2">
      <c r="D51" t="str">
        <f t="shared" si="1"/>
        <v/>
      </c>
    </row>
    <row r="52" spans="4:4" ht="15.75" customHeight="1" x14ac:dyDescent="0.2">
      <c r="D52" t="str">
        <f t="shared" si="1"/>
        <v/>
      </c>
    </row>
    <row r="53" spans="4:4" ht="15.75" customHeight="1" x14ac:dyDescent="0.2">
      <c r="D53" t="str">
        <f t="shared" si="1"/>
        <v/>
      </c>
    </row>
    <row r="54" spans="4:4" ht="15.75" customHeight="1" x14ac:dyDescent="0.2">
      <c r="D54" t="str">
        <f t="shared" si="1"/>
        <v/>
      </c>
    </row>
    <row r="55" spans="4:4" ht="15.75" customHeight="1" x14ac:dyDescent="0.2">
      <c r="D55" t="str">
        <f t="shared" si="1"/>
        <v/>
      </c>
    </row>
    <row r="56" spans="4:4" ht="15.75" customHeight="1" x14ac:dyDescent="0.2">
      <c r="D56" t="str">
        <f t="shared" si="1"/>
        <v/>
      </c>
    </row>
    <row r="57" spans="4:4" ht="15.75" customHeight="1" x14ac:dyDescent="0.2">
      <c r="D57" t="str">
        <f t="shared" si="1"/>
        <v/>
      </c>
    </row>
    <row r="58" spans="4:4" ht="15.75" customHeight="1" x14ac:dyDescent="0.2">
      <c r="D58" t="str">
        <f t="shared" si="1"/>
        <v/>
      </c>
    </row>
    <row r="59" spans="4:4" ht="15.75" customHeight="1" x14ac:dyDescent="0.2">
      <c r="D59" t="str">
        <f t="shared" si="1"/>
        <v/>
      </c>
    </row>
    <row r="60" spans="4:4" ht="15.75" customHeight="1" x14ac:dyDescent="0.2">
      <c r="D60" t="str">
        <f t="shared" si="1"/>
        <v/>
      </c>
    </row>
    <row r="61" spans="4:4" ht="15.75" customHeight="1" x14ac:dyDescent="0.2">
      <c r="D61" t="str">
        <f t="shared" si="1"/>
        <v/>
      </c>
    </row>
    <row r="62" spans="4:4" ht="15.75" customHeight="1" x14ac:dyDescent="0.2">
      <c r="D62" t="str">
        <f t="shared" si="1"/>
        <v/>
      </c>
    </row>
    <row r="63" spans="4:4" ht="15.75" customHeight="1" x14ac:dyDescent="0.2">
      <c r="D63" t="str">
        <f t="shared" si="1"/>
        <v/>
      </c>
    </row>
    <row r="64" spans="4:4" ht="15.75" customHeight="1" x14ac:dyDescent="0.2">
      <c r="D64" t="str">
        <f t="shared" si="1"/>
        <v/>
      </c>
    </row>
    <row r="65" spans="4:4" ht="15.75" customHeight="1" x14ac:dyDescent="0.2">
      <c r="D65" t="str">
        <f t="shared" si="1"/>
        <v/>
      </c>
    </row>
    <row r="66" spans="4:4" ht="15.75" customHeight="1" x14ac:dyDescent="0.2">
      <c r="D66" t="str">
        <f t="shared" si="1"/>
        <v/>
      </c>
    </row>
    <row r="67" spans="4:4" ht="15.75" customHeight="1" x14ac:dyDescent="0.2">
      <c r="D67" t="str">
        <f t="shared" si="1"/>
        <v/>
      </c>
    </row>
    <row r="68" spans="4:4" ht="15.75" customHeight="1" x14ac:dyDescent="0.2">
      <c r="D68" t="str">
        <f t="shared" si="1"/>
        <v/>
      </c>
    </row>
    <row r="69" spans="4:4" ht="15.75" customHeight="1" x14ac:dyDescent="0.2">
      <c r="D69" t="str">
        <f t="shared" si="1"/>
        <v/>
      </c>
    </row>
    <row r="70" spans="4:4" ht="15.75" customHeight="1" x14ac:dyDescent="0.2">
      <c r="D70" t="str">
        <f t="shared" si="1"/>
        <v/>
      </c>
    </row>
    <row r="71" spans="4:4" ht="15.75" customHeight="1" x14ac:dyDescent="0.2">
      <c r="D71" t="str">
        <f t="shared" si="1"/>
        <v/>
      </c>
    </row>
    <row r="72" spans="4:4" ht="15.75" customHeight="1" x14ac:dyDescent="0.2">
      <c r="D72" t="str">
        <f t="shared" si="1"/>
        <v/>
      </c>
    </row>
    <row r="73" spans="4:4" ht="15.75" customHeight="1" x14ac:dyDescent="0.2">
      <c r="D73" t="str">
        <f t="shared" si="1"/>
        <v/>
      </c>
    </row>
    <row r="74" spans="4:4" ht="15.75" customHeight="1" x14ac:dyDescent="0.2">
      <c r="D74" t="str">
        <f t="shared" si="1"/>
        <v/>
      </c>
    </row>
    <row r="75" spans="4:4" ht="15.75" customHeight="1" x14ac:dyDescent="0.2">
      <c r="D75" t="str">
        <f t="shared" si="1"/>
        <v/>
      </c>
    </row>
    <row r="76" spans="4:4" ht="15.75" customHeight="1" x14ac:dyDescent="0.2"/>
    <row r="77" spans="4:4" ht="15.75" customHeight="1" x14ac:dyDescent="0.2"/>
    <row r="78" spans="4:4" ht="15.75" customHeight="1" x14ac:dyDescent="0.2"/>
    <row r="79" spans="4:4" ht="15.75" customHeight="1" x14ac:dyDescent="0.2"/>
    <row r="80" spans="4:4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Q3"/>
  </mergeCells>
  <phoneticPr fontId="10" type="noConversion"/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2951D-DCDA-463B-80AE-DC6B9756A16F}">
  <sheetPr>
    <tabColor rgb="FFC00000"/>
  </sheetPr>
  <dimension ref="C5:F12"/>
  <sheetViews>
    <sheetView topLeftCell="C4" zoomScale="160" zoomScaleNormal="160" workbookViewId="0">
      <selection activeCell="F7" sqref="F7:F12"/>
    </sheetView>
  </sheetViews>
  <sheetFormatPr baseColWidth="10" defaultRowHeight="14.25" x14ac:dyDescent="0.2"/>
  <cols>
    <col min="3" max="3" width="48.5" bestFit="1" customWidth="1"/>
    <col min="4" max="4" width="14.5" bestFit="1" customWidth="1"/>
  </cols>
  <sheetData>
    <row r="5" spans="3:6" ht="15" x14ac:dyDescent="0.25">
      <c r="C5" s="60" t="s">
        <v>375</v>
      </c>
      <c r="D5" s="58"/>
    </row>
    <row r="6" spans="3:6" ht="15" x14ac:dyDescent="0.25">
      <c r="C6" s="18" t="s">
        <v>376</v>
      </c>
      <c r="D6" s="19" t="s">
        <v>377</v>
      </c>
    </row>
    <row r="7" spans="3:6" ht="15" x14ac:dyDescent="0.25">
      <c r="C7" s="43" t="s">
        <v>378</v>
      </c>
      <c r="D7" s="17">
        <v>1</v>
      </c>
      <c r="F7" s="4" t="str">
        <f>"INSERT INTO Requerimiento VALUES ('"&amp;C7&amp;"','"&amp;D7&amp;"');"</f>
        <v>INSERT INTO Requerimiento VALUES ('Tener mas de 18','1');</v>
      </c>
    </row>
    <row r="8" spans="3:6" ht="15" x14ac:dyDescent="0.25">
      <c r="C8" s="44" t="s">
        <v>379</v>
      </c>
      <c r="D8" s="17">
        <v>2</v>
      </c>
      <c r="F8" s="4" t="str">
        <f t="shared" ref="F8:F12" si="0">"INSERT INTO Requerimiento VALUES ('"&amp;C8&amp;"','"&amp;D8&amp;"');"</f>
        <v>INSERT INTO Requerimiento VALUES ('Ser peruano','2');</v>
      </c>
    </row>
    <row r="9" spans="3:6" ht="15" x14ac:dyDescent="0.25">
      <c r="C9" s="45" t="s">
        <v>380</v>
      </c>
      <c r="D9" s="17">
        <v>3</v>
      </c>
      <c r="F9" s="4" t="str">
        <f t="shared" si="0"/>
        <v>INSERT INTO Requerimiento VALUES ('Ser soltero','3');</v>
      </c>
    </row>
    <row r="10" spans="3:6" ht="15" x14ac:dyDescent="0.25">
      <c r="C10" s="45" t="s">
        <v>382</v>
      </c>
      <c r="D10" s="17">
        <v>4</v>
      </c>
      <c r="F10" s="4" t="str">
        <f t="shared" si="0"/>
        <v>INSERT INTO Requerimiento VALUES ('Secundaria completa','4');</v>
      </c>
    </row>
    <row r="11" spans="3:6" ht="15" x14ac:dyDescent="0.25">
      <c r="C11" s="45" t="s">
        <v>381</v>
      </c>
      <c r="D11" s="17">
        <v>5</v>
      </c>
      <c r="F11" s="4" t="str">
        <f t="shared" si="0"/>
        <v>INSERT INTO Requerimiento VALUES ('No registrar antecedentes policiales, penales ni judiciales','5');</v>
      </c>
    </row>
    <row r="12" spans="3:6" ht="15" x14ac:dyDescent="0.25">
      <c r="C12" s="45" t="s">
        <v>383</v>
      </c>
      <c r="D12" s="17">
        <v>6</v>
      </c>
      <c r="F12" s="4" t="str">
        <f t="shared" si="0"/>
        <v>INSERT INTO Requerimiento VALUES ('Copia del Título de Médico','6');</v>
      </c>
    </row>
  </sheetData>
  <mergeCells count="1">
    <mergeCell ref="C5:D5"/>
  </mergeCells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C00000"/>
  </sheetPr>
  <dimension ref="C3:G1000"/>
  <sheetViews>
    <sheetView topLeftCell="A10" zoomScale="160" zoomScaleNormal="160" workbookViewId="0">
      <selection activeCell="I12" sqref="I12"/>
    </sheetView>
  </sheetViews>
  <sheetFormatPr baseColWidth="10" defaultColWidth="12.625" defaultRowHeight="15" customHeight="1" x14ac:dyDescent="0.2"/>
  <cols>
    <col min="1" max="1" width="9.375" customWidth="1"/>
    <col min="2" max="2" width="9.25" customWidth="1"/>
    <col min="3" max="3" width="10.5" customWidth="1"/>
    <col min="4" max="4" width="9.375" customWidth="1"/>
    <col min="5" max="5" width="11" customWidth="1"/>
    <col min="6" max="24" width="9.375" customWidth="1"/>
  </cols>
  <sheetData>
    <row r="3" spans="3:7" x14ac:dyDescent="0.25">
      <c r="C3" s="60" t="s">
        <v>384</v>
      </c>
      <c r="D3" s="59"/>
      <c r="E3" s="58"/>
    </row>
    <row r="4" spans="3:7" x14ac:dyDescent="0.25">
      <c r="C4" s="12" t="s">
        <v>66</v>
      </c>
      <c r="D4" s="13" t="s">
        <v>385</v>
      </c>
      <c r="E4" s="13" t="s">
        <v>386</v>
      </c>
    </row>
    <row r="5" spans="3:7" x14ac:dyDescent="0.25">
      <c r="C5" s="16"/>
      <c r="D5" s="14">
        <v>1</v>
      </c>
      <c r="E5" s="15">
        <f>RandomSelection(REQUERIMIENTO!$D$7:$D$12)</f>
        <v>5</v>
      </c>
      <c r="G5" s="4" t="str">
        <f>"INSERT INTO AplicantesRequerimiento VALUES ('"&amp;D5&amp;"','"&amp;E5&amp;"');"</f>
        <v>INSERT INTO AplicantesRequerimiento VALUES ('1','5');</v>
      </c>
    </row>
    <row r="6" spans="3:7" x14ac:dyDescent="0.25">
      <c r="C6" s="16"/>
      <c r="D6" s="14">
        <v>2</v>
      </c>
      <c r="E6" s="15">
        <f>RandomSelection(REQUERIMIENTO!$D$7:$D$12)</f>
        <v>6</v>
      </c>
      <c r="G6" s="4" t="str">
        <f t="shared" ref="G6:G10" si="0">"INSERT INTO AplicantesRequerimiento VALUES ('"&amp;D6&amp;"','"&amp;E6&amp;"');"</f>
        <v>INSERT INTO AplicantesRequerimiento VALUES ('2','6');</v>
      </c>
    </row>
    <row r="7" spans="3:7" x14ac:dyDescent="0.25">
      <c r="C7" s="16"/>
      <c r="D7" s="14">
        <v>3</v>
      </c>
      <c r="E7" s="15">
        <f>RandomSelection(REQUERIMIENTO!$D$7:$D$12)</f>
        <v>1</v>
      </c>
      <c r="G7" s="4" t="str">
        <f t="shared" si="0"/>
        <v>INSERT INTO AplicantesRequerimiento VALUES ('3','1');</v>
      </c>
    </row>
    <row r="8" spans="3:7" x14ac:dyDescent="0.25">
      <c r="C8" s="16"/>
      <c r="D8" s="14">
        <v>4</v>
      </c>
      <c r="E8" s="15">
        <f>RandomSelection(REQUERIMIENTO!$D$7:$D$12)</f>
        <v>5</v>
      </c>
      <c r="G8" s="4" t="str">
        <f t="shared" si="0"/>
        <v>INSERT INTO AplicantesRequerimiento VALUES ('4','5');</v>
      </c>
    </row>
    <row r="9" spans="3:7" x14ac:dyDescent="0.25">
      <c r="C9" s="16"/>
      <c r="D9" s="14">
        <v>5</v>
      </c>
      <c r="E9" s="15">
        <f>RandomSelection(REQUERIMIENTO!$D$7:$D$12)</f>
        <v>4</v>
      </c>
      <c r="G9" s="4" t="str">
        <f t="shared" si="0"/>
        <v>INSERT INTO AplicantesRequerimiento VALUES ('5','4');</v>
      </c>
    </row>
    <row r="10" spans="3:7" ht="15" customHeight="1" x14ac:dyDescent="0.25">
      <c r="C10" s="16"/>
      <c r="D10" s="14">
        <v>6</v>
      </c>
      <c r="E10" s="15">
        <f>RandomSelection(REQUERIMIENTO!$D$7:$D$12)</f>
        <v>6</v>
      </c>
      <c r="G10" s="4" t="str">
        <f t="shared" si="0"/>
        <v>INSERT INTO AplicantesRequerimiento VALUES ('6','6');</v>
      </c>
    </row>
    <row r="11" spans="3:7" ht="15" customHeight="1" x14ac:dyDescent="0.25">
      <c r="C11" s="16"/>
      <c r="D11" s="14"/>
      <c r="E11" s="15"/>
      <c r="G11" s="4"/>
    </row>
    <row r="12" spans="3:7" ht="15" customHeight="1" x14ac:dyDescent="0.25">
      <c r="C12" s="16"/>
      <c r="D12" s="14"/>
      <c r="E12" s="15"/>
      <c r="G12" s="4"/>
    </row>
    <row r="13" spans="3:7" ht="15" customHeight="1" x14ac:dyDescent="0.25">
      <c r="C13" s="16"/>
      <c r="D13" s="14"/>
      <c r="E13" s="15"/>
      <c r="G13" s="4"/>
    </row>
    <row r="14" spans="3:7" ht="15" customHeight="1" x14ac:dyDescent="0.25">
      <c r="C14" s="16"/>
      <c r="D14" s="14"/>
      <c r="E14" s="15"/>
      <c r="G14" s="4"/>
    </row>
    <row r="15" spans="3:7" ht="15" customHeight="1" x14ac:dyDescent="0.25">
      <c r="C15" s="16"/>
      <c r="D15" s="14"/>
      <c r="E15" s="15"/>
      <c r="G15" s="4"/>
    </row>
    <row r="16" spans="3:7" ht="15" customHeight="1" x14ac:dyDescent="0.25">
      <c r="C16" s="16"/>
      <c r="D16" s="14"/>
      <c r="E16" s="15"/>
      <c r="G16" s="4"/>
    </row>
    <row r="17" spans="3:7" ht="15" customHeight="1" x14ac:dyDescent="0.25">
      <c r="C17" s="16"/>
      <c r="D17" s="14"/>
      <c r="E17" s="15"/>
      <c r="G17" s="4" t="s">
        <v>847</v>
      </c>
    </row>
    <row r="18" spans="3:7" ht="15" customHeight="1" x14ac:dyDescent="0.25">
      <c r="C18" s="16"/>
      <c r="D18" s="14"/>
      <c r="E18" s="15"/>
      <c r="G18" s="4" t="s">
        <v>848</v>
      </c>
    </row>
    <row r="19" spans="3:7" ht="15" customHeight="1" x14ac:dyDescent="0.25">
      <c r="C19" s="16"/>
      <c r="D19" s="14"/>
      <c r="E19" s="15"/>
      <c r="G19" s="4" t="s">
        <v>849</v>
      </c>
    </row>
    <row r="20" spans="3:7" ht="15" customHeight="1" x14ac:dyDescent="0.25">
      <c r="C20" s="16"/>
      <c r="D20" s="14"/>
      <c r="E20" s="15"/>
      <c r="G20" s="4" t="s">
        <v>850</v>
      </c>
    </row>
    <row r="21" spans="3:7" ht="15.75" customHeight="1" x14ac:dyDescent="0.25">
      <c r="C21" s="16"/>
      <c r="D21" s="14"/>
      <c r="E21" s="15"/>
      <c r="G21" s="4" t="s">
        <v>851</v>
      </c>
    </row>
    <row r="22" spans="3:7" ht="15.75" customHeight="1" x14ac:dyDescent="0.25">
      <c r="C22" s="16"/>
      <c r="D22" s="14"/>
      <c r="E22" s="15"/>
      <c r="G22" s="4" t="s">
        <v>852</v>
      </c>
    </row>
    <row r="23" spans="3:7" ht="15.75" customHeight="1" x14ac:dyDescent="0.25">
      <c r="C23" s="16"/>
      <c r="D23" s="14"/>
      <c r="E23" s="15"/>
      <c r="G23" s="4"/>
    </row>
    <row r="24" spans="3:7" ht="15.75" customHeight="1" x14ac:dyDescent="0.25">
      <c r="C24" s="16"/>
      <c r="D24" s="14"/>
      <c r="E24" s="15"/>
      <c r="G24" s="4"/>
    </row>
    <row r="25" spans="3:7" ht="15.75" customHeight="1" x14ac:dyDescent="0.25">
      <c r="C25" s="16"/>
      <c r="D25" s="14"/>
      <c r="E25" s="15"/>
      <c r="G25" s="4"/>
    </row>
    <row r="26" spans="3:7" ht="15.75" customHeight="1" x14ac:dyDescent="0.25">
      <c r="C26" s="16"/>
      <c r="D26" s="14"/>
      <c r="E26" s="15"/>
      <c r="G26" s="4"/>
    </row>
    <row r="27" spans="3:7" ht="15.75" customHeight="1" x14ac:dyDescent="0.25">
      <c r="C27" s="16"/>
      <c r="D27" s="14"/>
      <c r="E27" s="15"/>
      <c r="G27" s="4"/>
    </row>
    <row r="28" spans="3:7" ht="15.75" customHeight="1" x14ac:dyDescent="0.25">
      <c r="C28" s="16"/>
      <c r="D28" s="14"/>
      <c r="E28" s="15"/>
      <c r="G28" s="4"/>
    </row>
    <row r="29" spans="3:7" ht="15.75" customHeight="1" x14ac:dyDescent="0.25">
      <c r="C29" s="16"/>
      <c r="D29" s="14"/>
      <c r="E29" s="15"/>
      <c r="G29" s="4"/>
    </row>
    <row r="30" spans="3:7" ht="15.75" customHeight="1" x14ac:dyDescent="0.25">
      <c r="C30" s="16"/>
      <c r="D30" s="14"/>
      <c r="E30" s="15"/>
      <c r="G30" s="4"/>
    </row>
    <row r="31" spans="3:7" ht="15.75" customHeight="1" x14ac:dyDescent="0.25">
      <c r="C31" s="16"/>
      <c r="D31" s="14"/>
      <c r="E31" s="15"/>
      <c r="G31" s="4"/>
    </row>
    <row r="32" spans="3:7" ht="15.75" customHeight="1" x14ac:dyDescent="0.25">
      <c r="C32" s="16"/>
      <c r="D32" s="14"/>
      <c r="E32" s="15"/>
      <c r="G32" s="4"/>
    </row>
    <row r="33" spans="3:7" ht="15.75" customHeight="1" x14ac:dyDescent="0.25">
      <c r="C33" s="16"/>
      <c r="D33" s="14"/>
      <c r="E33" s="15"/>
      <c r="G33" s="4"/>
    </row>
    <row r="34" spans="3:7" ht="15.75" customHeight="1" x14ac:dyDescent="0.25">
      <c r="C34" s="16"/>
      <c r="D34" s="14"/>
      <c r="E34" s="15"/>
      <c r="G34" s="4"/>
    </row>
    <row r="35" spans="3:7" ht="15.75" customHeight="1" x14ac:dyDescent="0.25">
      <c r="C35" s="16"/>
      <c r="D35" s="14"/>
      <c r="E35" s="15"/>
      <c r="G35" s="4"/>
    </row>
    <row r="36" spans="3:7" ht="15.75" customHeight="1" x14ac:dyDescent="0.25">
      <c r="C36" s="16"/>
      <c r="D36" s="14"/>
      <c r="E36" s="15"/>
      <c r="G36" s="4"/>
    </row>
    <row r="37" spans="3:7" ht="15.75" customHeight="1" x14ac:dyDescent="0.25">
      <c r="C37" s="16"/>
      <c r="D37" s="14"/>
      <c r="E37" s="15"/>
      <c r="G37" s="4"/>
    </row>
    <row r="38" spans="3:7" ht="15.75" customHeight="1" x14ac:dyDescent="0.25">
      <c r="C38" s="16"/>
      <c r="D38" s="14"/>
      <c r="E38" s="15"/>
      <c r="G38" s="4"/>
    </row>
    <row r="39" spans="3:7" ht="15.75" customHeight="1" x14ac:dyDescent="0.25">
      <c r="C39" s="16"/>
      <c r="D39" s="14"/>
      <c r="E39" s="15"/>
      <c r="G39" s="4"/>
    </row>
    <row r="40" spans="3:7" ht="15.75" customHeight="1" x14ac:dyDescent="0.25">
      <c r="C40" s="16"/>
      <c r="D40" s="14"/>
      <c r="E40" s="15"/>
      <c r="G40" s="4"/>
    </row>
    <row r="41" spans="3:7" ht="15.75" customHeight="1" x14ac:dyDescent="0.25">
      <c r="C41" s="16"/>
      <c r="D41" s="14"/>
      <c r="E41" s="15"/>
      <c r="G41" s="4"/>
    </row>
    <row r="42" spans="3:7" ht="15.75" customHeight="1" x14ac:dyDescent="0.25">
      <c r="C42" s="16"/>
      <c r="D42" s="14"/>
      <c r="E42" s="15"/>
      <c r="G42" s="4"/>
    </row>
    <row r="43" spans="3:7" ht="15.75" customHeight="1" x14ac:dyDescent="0.25">
      <c r="C43" s="16"/>
      <c r="D43" s="14"/>
      <c r="E43" s="15"/>
      <c r="G43" s="4"/>
    </row>
    <row r="44" spans="3:7" ht="15.75" customHeight="1" x14ac:dyDescent="0.25">
      <c r="C44" s="16"/>
      <c r="D44" s="14"/>
      <c r="E44" s="15"/>
      <c r="G44" s="4"/>
    </row>
    <row r="45" spans="3:7" ht="15.75" customHeight="1" x14ac:dyDescent="0.25">
      <c r="C45" s="16"/>
      <c r="D45" s="14"/>
      <c r="E45" s="15"/>
      <c r="G45" s="4"/>
    </row>
    <row r="46" spans="3:7" ht="15.75" customHeight="1" x14ac:dyDescent="0.25">
      <c r="C46" s="16"/>
      <c r="D46" s="14"/>
      <c r="E46" s="15"/>
      <c r="G46" s="4"/>
    </row>
    <row r="47" spans="3:7" ht="15.75" customHeight="1" x14ac:dyDescent="0.25">
      <c r="C47" s="16"/>
      <c r="D47" s="14"/>
      <c r="E47" s="15"/>
      <c r="G47" s="4"/>
    </row>
    <row r="48" spans="3:7" ht="15.75" customHeight="1" x14ac:dyDescent="0.25">
      <c r="C48" s="16"/>
      <c r="D48" s="14"/>
      <c r="E48" s="15"/>
      <c r="G48" s="4"/>
    </row>
    <row r="49" spans="3:7" ht="15.75" customHeight="1" x14ac:dyDescent="0.25">
      <c r="C49" s="16"/>
      <c r="D49" s="14"/>
      <c r="E49" s="15"/>
      <c r="G49" s="4"/>
    </row>
    <row r="50" spans="3:7" ht="15.75" customHeight="1" x14ac:dyDescent="0.25">
      <c r="C50" s="16"/>
      <c r="D50" s="14"/>
      <c r="E50" s="15"/>
      <c r="G50" s="4"/>
    </row>
    <row r="51" spans="3:7" ht="15.75" customHeight="1" x14ac:dyDescent="0.25">
      <c r="C51" s="16"/>
      <c r="D51" s="14"/>
      <c r="E51" s="15"/>
      <c r="G51" s="4"/>
    </row>
    <row r="52" spans="3:7" ht="15.75" customHeight="1" x14ac:dyDescent="0.25">
      <c r="C52" s="16"/>
      <c r="D52" s="14"/>
      <c r="E52" s="15"/>
      <c r="G52" s="4"/>
    </row>
    <row r="53" spans="3:7" ht="15.75" customHeight="1" x14ac:dyDescent="0.25">
      <c r="C53" s="16"/>
      <c r="D53" s="14"/>
      <c r="E53" s="15"/>
      <c r="G53" s="4"/>
    </row>
    <row r="54" spans="3:7" ht="15.75" customHeight="1" x14ac:dyDescent="0.25">
      <c r="C54" s="16"/>
      <c r="D54" s="14"/>
      <c r="E54" s="15"/>
      <c r="G54" s="4"/>
    </row>
    <row r="55" spans="3:7" ht="15.75" customHeight="1" x14ac:dyDescent="0.25">
      <c r="C55" s="16"/>
      <c r="D55" s="14"/>
      <c r="E55" s="15"/>
      <c r="G55" s="4"/>
    </row>
    <row r="56" spans="3:7" ht="15.75" customHeight="1" x14ac:dyDescent="0.25">
      <c r="C56" s="16"/>
      <c r="D56" s="14"/>
      <c r="E56" s="15"/>
      <c r="G56" s="4"/>
    </row>
    <row r="57" spans="3:7" ht="15.75" customHeight="1" x14ac:dyDescent="0.25">
      <c r="C57" s="16"/>
      <c r="D57" s="14"/>
      <c r="E57" s="15"/>
      <c r="G57" s="4"/>
    </row>
    <row r="58" spans="3:7" ht="15.75" customHeight="1" x14ac:dyDescent="0.25">
      <c r="C58" s="16"/>
      <c r="D58" s="14"/>
      <c r="E58" s="15"/>
      <c r="G58" s="4"/>
    </row>
    <row r="59" spans="3:7" ht="15.75" customHeight="1" x14ac:dyDescent="0.25">
      <c r="C59" s="16"/>
      <c r="D59" s="14"/>
      <c r="E59" s="15"/>
      <c r="G59" s="4"/>
    </row>
    <row r="60" spans="3:7" ht="15.75" customHeight="1" x14ac:dyDescent="0.25">
      <c r="C60" s="16"/>
      <c r="D60" s="14"/>
      <c r="E60" s="15"/>
      <c r="G60" s="4"/>
    </row>
    <row r="61" spans="3:7" ht="15.75" customHeight="1" x14ac:dyDescent="0.25">
      <c r="C61" s="16"/>
      <c r="D61" s="14"/>
      <c r="E61" s="15"/>
      <c r="G61" s="4"/>
    </row>
    <row r="62" spans="3:7" ht="15.75" customHeight="1" x14ac:dyDescent="0.25">
      <c r="C62" s="16"/>
      <c r="D62" s="14"/>
      <c r="E62" s="15"/>
      <c r="G62" s="4"/>
    </row>
    <row r="63" spans="3:7" ht="15.75" customHeight="1" x14ac:dyDescent="0.25">
      <c r="C63" s="16"/>
      <c r="D63" s="14"/>
      <c r="E63" s="15"/>
      <c r="G63" s="4"/>
    </row>
    <row r="64" spans="3:7" ht="15.75" customHeight="1" x14ac:dyDescent="0.25">
      <c r="C64" s="16"/>
      <c r="D64" s="14"/>
      <c r="E64" s="15"/>
      <c r="G64" s="4"/>
    </row>
    <row r="65" spans="3:7" ht="15.75" customHeight="1" x14ac:dyDescent="0.25">
      <c r="C65" s="16"/>
      <c r="D65" s="14"/>
      <c r="E65" s="15"/>
      <c r="G65" s="4"/>
    </row>
    <row r="66" spans="3:7" ht="15.75" customHeight="1" x14ac:dyDescent="0.2"/>
    <row r="67" spans="3:7" ht="15.75" customHeight="1" x14ac:dyDescent="0.2"/>
    <row r="68" spans="3:7" ht="15.75" customHeight="1" x14ac:dyDescent="0.2"/>
    <row r="69" spans="3:7" ht="15.75" customHeight="1" x14ac:dyDescent="0.2"/>
    <row r="70" spans="3:7" ht="15.75" customHeight="1" x14ac:dyDescent="0.2"/>
    <row r="71" spans="3:7" ht="15.75" customHeight="1" x14ac:dyDescent="0.2"/>
    <row r="72" spans="3:7" ht="15.75" customHeight="1" x14ac:dyDescent="0.2"/>
    <row r="73" spans="3:7" ht="15.75" customHeight="1" x14ac:dyDescent="0.2"/>
    <row r="74" spans="3:7" ht="15.75" customHeight="1" x14ac:dyDescent="0.2"/>
    <row r="75" spans="3:7" ht="15.75" customHeight="1" x14ac:dyDescent="0.2"/>
    <row r="76" spans="3:7" ht="15.75" customHeight="1" x14ac:dyDescent="0.2"/>
    <row r="77" spans="3:7" ht="15.75" customHeight="1" x14ac:dyDescent="0.2"/>
    <row r="78" spans="3:7" ht="15.75" customHeight="1" x14ac:dyDescent="0.2"/>
    <row r="79" spans="3:7" ht="15.75" customHeight="1" x14ac:dyDescent="0.2"/>
    <row r="80" spans="3:7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E3"/>
  </mergeCells>
  <phoneticPr fontId="10" type="noConversion"/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62D8-0E3A-4F0F-9346-03705C564A04}">
  <sheetPr>
    <tabColor rgb="FFC00000"/>
  </sheetPr>
  <dimension ref="A5:P111"/>
  <sheetViews>
    <sheetView topLeftCell="B1" workbookViewId="0">
      <selection activeCell="I26" sqref="I26"/>
    </sheetView>
  </sheetViews>
  <sheetFormatPr baseColWidth="10" defaultRowHeight="14.25" x14ac:dyDescent="0.2"/>
  <sheetData>
    <row r="5" spans="1:16" ht="15" x14ac:dyDescent="0.25">
      <c r="C5" s="63" t="s">
        <v>735</v>
      </c>
      <c r="D5" s="64"/>
      <c r="E5" s="64"/>
      <c r="F5" s="64"/>
      <c r="G5" s="64"/>
      <c r="H5" s="64"/>
    </row>
    <row r="6" spans="1:16" ht="15" x14ac:dyDescent="0.25">
      <c r="A6" t="s">
        <v>731</v>
      </c>
      <c r="C6" s="12" t="s">
        <v>725</v>
      </c>
      <c r="D6" s="13" t="s">
        <v>726</v>
      </c>
      <c r="E6" s="13" t="s">
        <v>727</v>
      </c>
      <c r="F6" s="13" t="s">
        <v>728</v>
      </c>
      <c r="G6" s="61" t="s">
        <v>729</v>
      </c>
      <c r="H6" s="61" t="s">
        <v>730</v>
      </c>
    </row>
    <row r="7" spans="1:16" ht="15" x14ac:dyDescent="0.25">
      <c r="A7" t="s">
        <v>732</v>
      </c>
      <c r="C7" s="16">
        <f ca="1">RANDBETWEEN(0,10)</f>
        <v>6</v>
      </c>
      <c r="D7" s="16">
        <f ca="1">RANDBETWEEN(180,260)</f>
        <v>232</v>
      </c>
      <c r="E7" s="16">
        <f ca="1">RANDBETWEEN(5,20)</f>
        <v>15</v>
      </c>
      <c r="F7" s="16">
        <f t="shared" ref="D7:F22" ca="1" si="0">RANDBETWEEN(0,10)</f>
        <v>0</v>
      </c>
      <c r="G7" s="62" t="str">
        <f>RandomSelection($A$6:$A$9)</f>
        <v>ME PARECE INJUSTO</v>
      </c>
      <c r="H7" s="62">
        <v>1</v>
      </c>
      <c r="J7" s="4" t="str">
        <f ca="1">"INSERT INTO Rendimiento VALUES ('"&amp;C7&amp;"','"&amp;D7&amp;"','"&amp;E7&amp;"','"&amp;F7&amp;"','"&amp;G7&amp;"','"&amp;H7&amp;"');"</f>
        <v>INSERT INTO Rendimiento VALUES ('6','232','15','0','ME PARECE INJUSTO','1');</v>
      </c>
      <c r="P7" t="s">
        <v>853</v>
      </c>
    </row>
    <row r="8" spans="1:16" ht="15" x14ac:dyDescent="0.25">
      <c r="A8" t="s">
        <v>733</v>
      </c>
      <c r="C8" s="16">
        <f t="shared" ref="C8:C71" ca="1" si="1">RANDBETWEEN(0,10)</f>
        <v>9</v>
      </c>
      <c r="D8" s="16">
        <f t="shared" ref="D8:D71" ca="1" si="2">RANDBETWEEN(180,260)</f>
        <v>238</v>
      </c>
      <c r="E8" s="16">
        <f t="shared" ref="E8:E71" ca="1" si="3">RANDBETWEEN(5,20)</f>
        <v>9</v>
      </c>
      <c r="F8" s="16">
        <f t="shared" ca="1" si="0"/>
        <v>9</v>
      </c>
      <c r="G8" s="62" t="str">
        <f t="shared" ref="G8:G71" si="4">RandomSelection($A$6:$A$9)</f>
        <v>NO OPINO</v>
      </c>
      <c r="H8" s="62">
        <v>2</v>
      </c>
      <c r="J8" s="4" t="str">
        <f t="shared" ref="J8:J71" ca="1" si="5">"INSERT INTO Rendimiento VALUES ('"&amp;C8&amp;"','"&amp;D8&amp;"','"&amp;E8&amp;"','"&amp;F8&amp;"','"&amp;G8&amp;"','"&amp;H8&amp;"');"</f>
        <v>INSERT INTO Rendimiento VALUES ('9','238','9','9','NO OPINO','2');</v>
      </c>
      <c r="P8" t="s">
        <v>854</v>
      </c>
    </row>
    <row r="9" spans="1:16" ht="15" x14ac:dyDescent="0.25">
      <c r="A9" t="s">
        <v>734</v>
      </c>
      <c r="C9" s="16">
        <f t="shared" ca="1" si="1"/>
        <v>1</v>
      </c>
      <c r="D9" s="16">
        <f t="shared" ca="1" si="2"/>
        <v>211</v>
      </c>
      <c r="E9" s="16">
        <f t="shared" ca="1" si="3"/>
        <v>14</v>
      </c>
      <c r="F9" s="16">
        <f t="shared" ca="1" si="0"/>
        <v>9</v>
      </c>
      <c r="G9" s="62" t="str">
        <f t="shared" si="4"/>
        <v>NO OPINO</v>
      </c>
      <c r="H9" s="62">
        <v>3</v>
      </c>
      <c r="J9" s="4" t="str">
        <f t="shared" ca="1" si="5"/>
        <v>INSERT INTO Rendimiento VALUES ('1','211','14','9','NO OPINO','3');</v>
      </c>
      <c r="P9" t="s">
        <v>855</v>
      </c>
    </row>
    <row r="10" spans="1:16" ht="15" x14ac:dyDescent="0.25">
      <c r="C10" s="16">
        <f t="shared" ca="1" si="1"/>
        <v>4</v>
      </c>
      <c r="D10" s="16">
        <f t="shared" ca="1" si="2"/>
        <v>237</v>
      </c>
      <c r="E10" s="16">
        <f t="shared" ca="1" si="3"/>
        <v>10</v>
      </c>
      <c r="F10" s="16">
        <f t="shared" ca="1" si="0"/>
        <v>6</v>
      </c>
      <c r="G10" s="62" t="str">
        <f t="shared" si="4"/>
        <v>NO OPINO</v>
      </c>
      <c r="H10" s="62">
        <v>4</v>
      </c>
      <c r="J10" s="4" t="str">
        <f t="shared" ca="1" si="5"/>
        <v>INSERT INTO Rendimiento VALUES ('4','237','10','6','NO OPINO','4');</v>
      </c>
      <c r="P10" t="s">
        <v>856</v>
      </c>
    </row>
    <row r="11" spans="1:16" ht="15" x14ac:dyDescent="0.25">
      <c r="C11" s="16">
        <f t="shared" ca="1" si="1"/>
        <v>9</v>
      </c>
      <c r="D11" s="16">
        <f t="shared" ca="1" si="2"/>
        <v>216</v>
      </c>
      <c r="E11" s="16">
        <f t="shared" ca="1" si="3"/>
        <v>10</v>
      </c>
      <c r="F11" s="16">
        <f t="shared" ca="1" si="0"/>
        <v>9</v>
      </c>
      <c r="G11" s="62" t="str">
        <f t="shared" si="4"/>
        <v>NO OPINO</v>
      </c>
      <c r="H11" s="62">
        <v>5</v>
      </c>
      <c r="J11" s="4" t="str">
        <f t="shared" ca="1" si="5"/>
        <v>INSERT INTO Rendimiento VALUES ('9','216','10','9','NO OPINO','5');</v>
      </c>
      <c r="P11" t="s">
        <v>857</v>
      </c>
    </row>
    <row r="12" spans="1:16" ht="15" x14ac:dyDescent="0.25">
      <c r="C12" s="16">
        <f t="shared" ca="1" si="1"/>
        <v>4</v>
      </c>
      <c r="D12" s="16">
        <f t="shared" ca="1" si="2"/>
        <v>258</v>
      </c>
      <c r="E12" s="16">
        <f t="shared" ca="1" si="3"/>
        <v>8</v>
      </c>
      <c r="F12" s="16">
        <f t="shared" ca="1" si="0"/>
        <v>2</v>
      </c>
      <c r="G12" s="62" t="str">
        <f t="shared" si="4"/>
        <v>ME PARECE MAL</v>
      </c>
      <c r="H12" s="62">
        <v>6</v>
      </c>
      <c r="J12" s="4" t="str">
        <f t="shared" ca="1" si="5"/>
        <v>INSERT INTO Rendimiento VALUES ('4','258','8','2','ME PARECE MAL','6');</v>
      </c>
      <c r="P12" t="s">
        <v>858</v>
      </c>
    </row>
    <row r="13" spans="1:16" ht="15" x14ac:dyDescent="0.25">
      <c r="C13" s="16">
        <f t="shared" ca="1" si="1"/>
        <v>0</v>
      </c>
      <c r="D13" s="16">
        <f t="shared" ca="1" si="2"/>
        <v>247</v>
      </c>
      <c r="E13" s="16">
        <f t="shared" ca="1" si="3"/>
        <v>18</v>
      </c>
      <c r="F13" s="16">
        <f t="shared" ca="1" si="0"/>
        <v>6</v>
      </c>
      <c r="G13" s="62" t="str">
        <f t="shared" si="4"/>
        <v>NO OPINO</v>
      </c>
      <c r="H13" s="62">
        <v>7</v>
      </c>
      <c r="J13" s="4" t="str">
        <f t="shared" ca="1" si="5"/>
        <v>INSERT INTO Rendimiento VALUES ('0','247','18','6','NO OPINO','7');</v>
      </c>
      <c r="P13" t="s">
        <v>859</v>
      </c>
    </row>
    <row r="14" spans="1:16" ht="15" x14ac:dyDescent="0.25">
      <c r="C14" s="16">
        <f t="shared" ca="1" si="1"/>
        <v>5</v>
      </c>
      <c r="D14" s="16">
        <f t="shared" ca="1" si="2"/>
        <v>186</v>
      </c>
      <c r="E14" s="16">
        <f t="shared" ca="1" si="3"/>
        <v>15</v>
      </c>
      <c r="F14" s="16">
        <f t="shared" ca="1" si="0"/>
        <v>0</v>
      </c>
      <c r="G14" s="62" t="str">
        <f t="shared" si="4"/>
        <v>ME PARECE MAL</v>
      </c>
      <c r="H14" s="62">
        <v>8</v>
      </c>
      <c r="J14" s="4" t="str">
        <f t="shared" ca="1" si="5"/>
        <v>INSERT INTO Rendimiento VALUES ('5','186','15','0','ME PARECE MAL','8');</v>
      </c>
      <c r="P14" t="s">
        <v>860</v>
      </c>
    </row>
    <row r="15" spans="1:16" ht="15" x14ac:dyDescent="0.25">
      <c r="C15" s="16">
        <f t="shared" ca="1" si="1"/>
        <v>7</v>
      </c>
      <c r="D15" s="16">
        <f t="shared" ca="1" si="2"/>
        <v>246</v>
      </c>
      <c r="E15" s="16">
        <f t="shared" ca="1" si="3"/>
        <v>5</v>
      </c>
      <c r="F15" s="16">
        <f t="shared" ca="1" si="0"/>
        <v>5</v>
      </c>
      <c r="G15" s="62" t="str">
        <f t="shared" si="4"/>
        <v>ME PARECE BIEN</v>
      </c>
      <c r="H15" s="62">
        <v>9</v>
      </c>
      <c r="J15" s="4" t="str">
        <f t="shared" ca="1" si="5"/>
        <v>INSERT INTO Rendimiento VALUES ('7','246','5','5','ME PARECE BIEN','9');</v>
      </c>
      <c r="P15" t="s">
        <v>861</v>
      </c>
    </row>
    <row r="16" spans="1:16" ht="15" x14ac:dyDescent="0.25">
      <c r="C16" s="16">
        <f t="shared" ca="1" si="1"/>
        <v>6</v>
      </c>
      <c r="D16" s="16">
        <f t="shared" ca="1" si="2"/>
        <v>259</v>
      </c>
      <c r="E16" s="16">
        <f t="shared" ca="1" si="3"/>
        <v>20</v>
      </c>
      <c r="F16" s="16">
        <f t="shared" ca="1" si="0"/>
        <v>10</v>
      </c>
      <c r="G16" s="62" t="str">
        <f t="shared" si="4"/>
        <v>ME PARECE INJUSTO</v>
      </c>
      <c r="H16" s="62">
        <v>10</v>
      </c>
      <c r="J16" s="4" t="str">
        <f t="shared" ca="1" si="5"/>
        <v>INSERT INTO Rendimiento VALUES ('6','259','20','10','ME PARECE INJUSTO','10');</v>
      </c>
      <c r="P16" t="s">
        <v>862</v>
      </c>
    </row>
    <row r="17" spans="3:16" ht="15" x14ac:dyDescent="0.25">
      <c r="C17" s="16">
        <f t="shared" ca="1" si="1"/>
        <v>3</v>
      </c>
      <c r="D17" s="16">
        <f t="shared" ca="1" si="2"/>
        <v>223</v>
      </c>
      <c r="E17" s="16">
        <f t="shared" ca="1" si="3"/>
        <v>16</v>
      </c>
      <c r="F17" s="16">
        <f t="shared" ca="1" si="0"/>
        <v>7</v>
      </c>
      <c r="G17" s="62" t="str">
        <f t="shared" si="4"/>
        <v>ME PARECE MAL</v>
      </c>
      <c r="H17" s="62">
        <v>11</v>
      </c>
      <c r="J17" s="4" t="str">
        <f t="shared" ca="1" si="5"/>
        <v>INSERT INTO Rendimiento VALUES ('3','223','16','7','ME PARECE MAL','11');</v>
      </c>
      <c r="P17" t="s">
        <v>863</v>
      </c>
    </row>
    <row r="18" spans="3:16" ht="15" x14ac:dyDescent="0.25">
      <c r="C18" s="16">
        <f t="shared" ca="1" si="1"/>
        <v>9</v>
      </c>
      <c r="D18" s="16">
        <f t="shared" ca="1" si="2"/>
        <v>180</v>
      </c>
      <c r="E18" s="16">
        <f t="shared" ca="1" si="3"/>
        <v>11</v>
      </c>
      <c r="F18" s="16">
        <f t="shared" ca="1" si="0"/>
        <v>5</v>
      </c>
      <c r="G18" s="62" t="str">
        <f t="shared" si="4"/>
        <v>ME PARECE BIEN</v>
      </c>
      <c r="H18" s="62">
        <v>12</v>
      </c>
      <c r="J18" s="4" t="str">
        <f t="shared" ca="1" si="5"/>
        <v>INSERT INTO Rendimiento VALUES ('9','180','11','5','ME PARECE BIEN','12');</v>
      </c>
      <c r="P18" t="s">
        <v>864</v>
      </c>
    </row>
    <row r="19" spans="3:16" ht="15" x14ac:dyDescent="0.25">
      <c r="C19" s="16">
        <f t="shared" ca="1" si="1"/>
        <v>7</v>
      </c>
      <c r="D19" s="16">
        <f t="shared" ca="1" si="2"/>
        <v>190</v>
      </c>
      <c r="E19" s="16">
        <f t="shared" ca="1" si="3"/>
        <v>5</v>
      </c>
      <c r="F19" s="16">
        <f t="shared" ca="1" si="0"/>
        <v>8</v>
      </c>
      <c r="G19" s="62" t="str">
        <f t="shared" si="4"/>
        <v>ME PARECE INJUSTO</v>
      </c>
      <c r="H19" s="62">
        <v>13</v>
      </c>
      <c r="J19" s="4" t="str">
        <f t="shared" ca="1" si="5"/>
        <v>INSERT INTO Rendimiento VALUES ('7','190','5','8','ME PARECE INJUSTO','13');</v>
      </c>
      <c r="P19" t="s">
        <v>865</v>
      </c>
    </row>
    <row r="20" spans="3:16" ht="15" x14ac:dyDescent="0.25">
      <c r="C20" s="16">
        <f t="shared" ca="1" si="1"/>
        <v>2</v>
      </c>
      <c r="D20" s="16">
        <f t="shared" ca="1" si="2"/>
        <v>202</v>
      </c>
      <c r="E20" s="16">
        <f t="shared" ca="1" si="3"/>
        <v>5</v>
      </c>
      <c r="F20" s="16">
        <f t="shared" ca="1" si="0"/>
        <v>8</v>
      </c>
      <c r="G20" s="62" t="str">
        <f t="shared" si="4"/>
        <v>ME PARECE INJUSTO</v>
      </c>
      <c r="H20" s="62">
        <v>14</v>
      </c>
      <c r="J20" s="4" t="str">
        <f t="shared" ca="1" si="5"/>
        <v>INSERT INTO Rendimiento VALUES ('2','202','5','8','ME PARECE INJUSTO','14');</v>
      </c>
      <c r="P20" t="s">
        <v>866</v>
      </c>
    </row>
    <row r="21" spans="3:16" ht="15" x14ac:dyDescent="0.25">
      <c r="C21" s="16">
        <f t="shared" ca="1" si="1"/>
        <v>10</v>
      </c>
      <c r="D21" s="16">
        <f t="shared" ca="1" si="2"/>
        <v>205</v>
      </c>
      <c r="E21" s="16">
        <f t="shared" ca="1" si="3"/>
        <v>7</v>
      </c>
      <c r="F21" s="16">
        <f t="shared" ca="1" si="0"/>
        <v>6</v>
      </c>
      <c r="G21" s="62" t="str">
        <f t="shared" si="4"/>
        <v>ME PARECE BIEN</v>
      </c>
      <c r="H21" s="62">
        <v>15</v>
      </c>
      <c r="J21" s="4" t="str">
        <f t="shared" ca="1" si="5"/>
        <v>INSERT INTO Rendimiento VALUES ('10','205','7','6','ME PARECE BIEN','15');</v>
      </c>
      <c r="P21" t="s">
        <v>867</v>
      </c>
    </row>
    <row r="22" spans="3:16" ht="15" x14ac:dyDescent="0.25">
      <c r="C22" s="16">
        <f t="shared" ca="1" si="1"/>
        <v>2</v>
      </c>
      <c r="D22" s="16">
        <f t="shared" ca="1" si="2"/>
        <v>194</v>
      </c>
      <c r="E22" s="16">
        <f t="shared" ca="1" si="3"/>
        <v>16</v>
      </c>
      <c r="F22" s="16">
        <f t="shared" ca="1" si="0"/>
        <v>9</v>
      </c>
      <c r="G22" s="62" t="str">
        <f t="shared" si="4"/>
        <v>ME PARECE BIEN</v>
      </c>
      <c r="H22" s="62">
        <v>16</v>
      </c>
      <c r="J22" s="4" t="str">
        <f t="shared" ca="1" si="5"/>
        <v>INSERT INTO Rendimiento VALUES ('2','194','16','9','ME PARECE BIEN','16');</v>
      </c>
      <c r="P22" t="s">
        <v>868</v>
      </c>
    </row>
    <row r="23" spans="3:16" ht="15" x14ac:dyDescent="0.25">
      <c r="C23" s="16">
        <f t="shared" ca="1" si="1"/>
        <v>3</v>
      </c>
      <c r="D23" s="16">
        <f t="shared" ca="1" si="2"/>
        <v>235</v>
      </c>
      <c r="E23" s="16">
        <f t="shared" ca="1" si="3"/>
        <v>19</v>
      </c>
      <c r="F23" s="16">
        <f t="shared" ref="F23:F86" ca="1" si="6">RANDBETWEEN(0,10)</f>
        <v>0</v>
      </c>
      <c r="G23" s="62" t="str">
        <f t="shared" si="4"/>
        <v>ME PARECE MAL</v>
      </c>
      <c r="H23" s="62">
        <v>17</v>
      </c>
      <c r="J23" s="4" t="str">
        <f t="shared" ca="1" si="5"/>
        <v>INSERT INTO Rendimiento VALUES ('3','235','19','0','ME PARECE MAL','17');</v>
      </c>
      <c r="P23" t="s">
        <v>869</v>
      </c>
    </row>
    <row r="24" spans="3:16" ht="15" x14ac:dyDescent="0.25">
      <c r="C24" s="16">
        <f t="shared" ca="1" si="1"/>
        <v>10</v>
      </c>
      <c r="D24" s="16">
        <f t="shared" ca="1" si="2"/>
        <v>180</v>
      </c>
      <c r="E24" s="16">
        <f t="shared" ca="1" si="3"/>
        <v>7</v>
      </c>
      <c r="F24" s="16">
        <f t="shared" ca="1" si="6"/>
        <v>10</v>
      </c>
      <c r="G24" s="62" t="str">
        <f t="shared" si="4"/>
        <v>ME PARECE MAL</v>
      </c>
      <c r="H24" s="62">
        <v>18</v>
      </c>
      <c r="J24" s="4" t="str">
        <f t="shared" ca="1" si="5"/>
        <v>INSERT INTO Rendimiento VALUES ('10','180','7','10','ME PARECE MAL','18');</v>
      </c>
      <c r="P24" t="s">
        <v>870</v>
      </c>
    </row>
    <row r="25" spans="3:16" ht="15" x14ac:dyDescent="0.25">
      <c r="C25" s="16">
        <f t="shared" ca="1" si="1"/>
        <v>0</v>
      </c>
      <c r="D25" s="16">
        <f t="shared" ca="1" si="2"/>
        <v>230</v>
      </c>
      <c r="E25" s="16">
        <f t="shared" ca="1" si="3"/>
        <v>20</v>
      </c>
      <c r="F25" s="16">
        <f t="shared" ca="1" si="6"/>
        <v>4</v>
      </c>
      <c r="G25" s="62" t="str">
        <f t="shared" si="4"/>
        <v>ME PARECE BIEN</v>
      </c>
      <c r="H25" s="62">
        <v>19</v>
      </c>
      <c r="J25" s="4" t="str">
        <f t="shared" ca="1" si="5"/>
        <v>INSERT INTO Rendimiento VALUES ('0','230','20','4','ME PARECE BIEN','19');</v>
      </c>
      <c r="P25" t="s">
        <v>871</v>
      </c>
    </row>
    <row r="26" spans="3:16" ht="15" x14ac:dyDescent="0.25">
      <c r="C26" s="16">
        <f t="shared" ca="1" si="1"/>
        <v>2</v>
      </c>
      <c r="D26" s="16">
        <f t="shared" ca="1" si="2"/>
        <v>203</v>
      </c>
      <c r="E26" s="16">
        <f t="shared" ca="1" si="3"/>
        <v>11</v>
      </c>
      <c r="F26" s="16">
        <f t="shared" ca="1" si="6"/>
        <v>10</v>
      </c>
      <c r="G26" s="62" t="str">
        <f t="shared" si="4"/>
        <v>ME PARECE INJUSTO</v>
      </c>
      <c r="H26" s="62">
        <v>20</v>
      </c>
      <c r="J26" s="4" t="str">
        <f t="shared" ca="1" si="5"/>
        <v>INSERT INTO Rendimiento VALUES ('2','203','11','10','ME PARECE INJUSTO','20');</v>
      </c>
      <c r="P26" t="s">
        <v>872</v>
      </c>
    </row>
    <row r="27" spans="3:16" ht="15" x14ac:dyDescent="0.25">
      <c r="C27" s="16">
        <f t="shared" ca="1" si="1"/>
        <v>8</v>
      </c>
      <c r="D27" s="16">
        <f t="shared" ca="1" si="2"/>
        <v>208</v>
      </c>
      <c r="E27" s="16">
        <f t="shared" ca="1" si="3"/>
        <v>13</v>
      </c>
      <c r="F27" s="16">
        <f t="shared" ca="1" si="6"/>
        <v>7</v>
      </c>
      <c r="G27" s="62" t="str">
        <f t="shared" si="4"/>
        <v>ME PARECE MAL</v>
      </c>
      <c r="H27" s="62">
        <v>21</v>
      </c>
      <c r="J27" s="4" t="str">
        <f t="shared" ca="1" si="5"/>
        <v>INSERT INTO Rendimiento VALUES ('8','208','13','7','ME PARECE MAL','21');</v>
      </c>
      <c r="P27" t="s">
        <v>873</v>
      </c>
    </row>
    <row r="28" spans="3:16" ht="15" x14ac:dyDescent="0.25">
      <c r="C28" s="16">
        <f t="shared" ca="1" si="1"/>
        <v>4</v>
      </c>
      <c r="D28" s="16">
        <f t="shared" ca="1" si="2"/>
        <v>218</v>
      </c>
      <c r="E28" s="16">
        <f t="shared" ca="1" si="3"/>
        <v>16</v>
      </c>
      <c r="F28" s="16">
        <f t="shared" ca="1" si="6"/>
        <v>10</v>
      </c>
      <c r="G28" s="62" t="str">
        <f t="shared" si="4"/>
        <v>ME PARECE MAL</v>
      </c>
      <c r="H28" s="62">
        <v>22</v>
      </c>
      <c r="J28" s="4" t="str">
        <f t="shared" ca="1" si="5"/>
        <v>INSERT INTO Rendimiento VALUES ('4','218','16','10','ME PARECE MAL','22');</v>
      </c>
      <c r="P28" t="s">
        <v>874</v>
      </c>
    </row>
    <row r="29" spans="3:16" ht="15" x14ac:dyDescent="0.25">
      <c r="C29" s="16">
        <f t="shared" ca="1" si="1"/>
        <v>8</v>
      </c>
      <c r="D29" s="16">
        <f t="shared" ca="1" si="2"/>
        <v>258</v>
      </c>
      <c r="E29" s="16">
        <f t="shared" ca="1" si="3"/>
        <v>6</v>
      </c>
      <c r="F29" s="16">
        <f t="shared" ca="1" si="6"/>
        <v>6</v>
      </c>
      <c r="G29" s="62" t="str">
        <f t="shared" si="4"/>
        <v>ME PARECE INJUSTO</v>
      </c>
      <c r="H29" s="62">
        <v>23</v>
      </c>
      <c r="J29" s="4" t="str">
        <f t="shared" ca="1" si="5"/>
        <v>INSERT INTO Rendimiento VALUES ('8','258','6','6','ME PARECE INJUSTO','23');</v>
      </c>
      <c r="P29" t="s">
        <v>875</v>
      </c>
    </row>
    <row r="30" spans="3:16" ht="15" x14ac:dyDescent="0.25">
      <c r="C30" s="16">
        <f t="shared" ca="1" si="1"/>
        <v>6</v>
      </c>
      <c r="D30" s="16">
        <f t="shared" ca="1" si="2"/>
        <v>231</v>
      </c>
      <c r="E30" s="16">
        <f t="shared" ca="1" si="3"/>
        <v>15</v>
      </c>
      <c r="F30" s="16">
        <f t="shared" ca="1" si="6"/>
        <v>0</v>
      </c>
      <c r="G30" s="62" t="str">
        <f t="shared" si="4"/>
        <v>ME PARECE INJUSTO</v>
      </c>
      <c r="H30" s="62">
        <v>24</v>
      </c>
      <c r="J30" s="4" t="str">
        <f t="shared" ca="1" si="5"/>
        <v>INSERT INTO Rendimiento VALUES ('6','231','15','0','ME PARECE INJUSTO','24');</v>
      </c>
      <c r="P30" t="s">
        <v>876</v>
      </c>
    </row>
    <row r="31" spans="3:16" ht="15" x14ac:dyDescent="0.25">
      <c r="C31" s="16">
        <f t="shared" ca="1" si="1"/>
        <v>3</v>
      </c>
      <c r="D31" s="16">
        <f t="shared" ca="1" si="2"/>
        <v>188</v>
      </c>
      <c r="E31" s="16">
        <f t="shared" ca="1" si="3"/>
        <v>13</v>
      </c>
      <c r="F31" s="16">
        <f t="shared" ca="1" si="6"/>
        <v>3</v>
      </c>
      <c r="G31" s="62" t="str">
        <f t="shared" si="4"/>
        <v>NO OPINO</v>
      </c>
      <c r="H31" s="62">
        <v>25</v>
      </c>
      <c r="J31" s="4" t="str">
        <f t="shared" ca="1" si="5"/>
        <v>INSERT INTO Rendimiento VALUES ('3','188','13','3','NO OPINO','25');</v>
      </c>
      <c r="P31" t="s">
        <v>877</v>
      </c>
    </row>
    <row r="32" spans="3:16" ht="15" x14ac:dyDescent="0.25">
      <c r="C32" s="16">
        <f t="shared" ca="1" si="1"/>
        <v>1</v>
      </c>
      <c r="D32" s="16">
        <f t="shared" ca="1" si="2"/>
        <v>254</v>
      </c>
      <c r="E32" s="16">
        <f t="shared" ca="1" si="3"/>
        <v>9</v>
      </c>
      <c r="F32" s="16">
        <f t="shared" ca="1" si="6"/>
        <v>2</v>
      </c>
      <c r="G32" s="62" t="str">
        <f t="shared" si="4"/>
        <v>ME PARECE MAL</v>
      </c>
      <c r="H32" s="62">
        <v>26</v>
      </c>
      <c r="J32" s="4" t="str">
        <f t="shared" ca="1" si="5"/>
        <v>INSERT INTO Rendimiento VALUES ('1','254','9','2','ME PARECE MAL','26');</v>
      </c>
      <c r="P32" t="s">
        <v>878</v>
      </c>
    </row>
    <row r="33" spans="3:16" ht="15" x14ac:dyDescent="0.25">
      <c r="C33" s="16">
        <f t="shared" ca="1" si="1"/>
        <v>5</v>
      </c>
      <c r="D33" s="16">
        <f t="shared" ca="1" si="2"/>
        <v>248</v>
      </c>
      <c r="E33" s="16">
        <f t="shared" ca="1" si="3"/>
        <v>11</v>
      </c>
      <c r="F33" s="16">
        <f t="shared" ca="1" si="6"/>
        <v>9</v>
      </c>
      <c r="G33" s="62" t="str">
        <f t="shared" si="4"/>
        <v>ME PARECE BIEN</v>
      </c>
      <c r="H33" s="62">
        <v>27</v>
      </c>
      <c r="J33" s="4" t="str">
        <f t="shared" ca="1" si="5"/>
        <v>INSERT INTO Rendimiento VALUES ('5','248','11','9','ME PARECE BIEN','27');</v>
      </c>
      <c r="P33" t="s">
        <v>879</v>
      </c>
    </row>
    <row r="34" spans="3:16" ht="15" x14ac:dyDescent="0.25">
      <c r="C34" s="16">
        <f t="shared" ca="1" si="1"/>
        <v>2</v>
      </c>
      <c r="D34" s="16">
        <f t="shared" ca="1" si="2"/>
        <v>229</v>
      </c>
      <c r="E34" s="16">
        <f t="shared" ca="1" si="3"/>
        <v>10</v>
      </c>
      <c r="F34" s="16">
        <f t="shared" ca="1" si="6"/>
        <v>10</v>
      </c>
      <c r="G34" s="62" t="str">
        <f t="shared" si="4"/>
        <v>ME PARECE MAL</v>
      </c>
      <c r="H34" s="62">
        <v>28</v>
      </c>
      <c r="J34" s="4" t="str">
        <f t="shared" ca="1" si="5"/>
        <v>INSERT INTO Rendimiento VALUES ('2','229','10','10','ME PARECE MAL','28');</v>
      </c>
      <c r="P34" t="s">
        <v>880</v>
      </c>
    </row>
    <row r="35" spans="3:16" ht="15" x14ac:dyDescent="0.25">
      <c r="C35" s="16">
        <f t="shared" ca="1" si="1"/>
        <v>9</v>
      </c>
      <c r="D35" s="16">
        <f t="shared" ca="1" si="2"/>
        <v>213</v>
      </c>
      <c r="E35" s="16">
        <f t="shared" ca="1" si="3"/>
        <v>9</v>
      </c>
      <c r="F35" s="16">
        <f t="shared" ca="1" si="6"/>
        <v>6</v>
      </c>
      <c r="G35" s="62" t="str">
        <f t="shared" si="4"/>
        <v>ME PARECE MAL</v>
      </c>
      <c r="H35" s="62">
        <v>29</v>
      </c>
      <c r="J35" s="4" t="str">
        <f t="shared" ca="1" si="5"/>
        <v>INSERT INTO Rendimiento VALUES ('9','213','9','6','ME PARECE MAL','29');</v>
      </c>
      <c r="P35" t="s">
        <v>881</v>
      </c>
    </row>
    <row r="36" spans="3:16" ht="15" x14ac:dyDescent="0.25">
      <c r="C36" s="16">
        <f t="shared" ca="1" si="1"/>
        <v>1</v>
      </c>
      <c r="D36" s="16">
        <f t="shared" ca="1" si="2"/>
        <v>181</v>
      </c>
      <c r="E36" s="16">
        <f t="shared" ca="1" si="3"/>
        <v>7</v>
      </c>
      <c r="F36" s="16">
        <f t="shared" ca="1" si="6"/>
        <v>7</v>
      </c>
      <c r="G36" s="62" t="str">
        <f t="shared" si="4"/>
        <v>NO OPINO</v>
      </c>
      <c r="H36" s="62">
        <v>30</v>
      </c>
      <c r="J36" s="4" t="str">
        <f t="shared" ca="1" si="5"/>
        <v>INSERT INTO Rendimiento VALUES ('1','181','7','7','NO OPINO','30');</v>
      </c>
      <c r="P36" t="s">
        <v>882</v>
      </c>
    </row>
    <row r="37" spans="3:16" ht="15" x14ac:dyDescent="0.25">
      <c r="C37" s="16">
        <f t="shared" ca="1" si="1"/>
        <v>3</v>
      </c>
      <c r="D37" s="16">
        <f t="shared" ca="1" si="2"/>
        <v>254</v>
      </c>
      <c r="E37" s="16">
        <f t="shared" ca="1" si="3"/>
        <v>11</v>
      </c>
      <c r="F37" s="16">
        <f t="shared" ca="1" si="6"/>
        <v>9</v>
      </c>
      <c r="G37" s="62" t="str">
        <f t="shared" si="4"/>
        <v>ME PARECE MAL</v>
      </c>
      <c r="H37" s="62">
        <v>31</v>
      </c>
      <c r="J37" s="4" t="str">
        <f t="shared" ca="1" si="5"/>
        <v>INSERT INTO Rendimiento VALUES ('3','254','11','9','ME PARECE MAL','31');</v>
      </c>
      <c r="P37" t="s">
        <v>883</v>
      </c>
    </row>
    <row r="38" spans="3:16" ht="15" x14ac:dyDescent="0.25">
      <c r="C38" s="16">
        <f t="shared" ca="1" si="1"/>
        <v>4</v>
      </c>
      <c r="D38" s="16">
        <f t="shared" ca="1" si="2"/>
        <v>231</v>
      </c>
      <c r="E38" s="16">
        <f t="shared" ca="1" si="3"/>
        <v>16</v>
      </c>
      <c r="F38" s="16">
        <f t="shared" ca="1" si="6"/>
        <v>8</v>
      </c>
      <c r="G38" s="62" t="str">
        <f t="shared" si="4"/>
        <v>ME PARECE INJUSTO</v>
      </c>
      <c r="H38" s="62">
        <v>32</v>
      </c>
      <c r="J38" s="4" t="str">
        <f t="shared" ca="1" si="5"/>
        <v>INSERT INTO Rendimiento VALUES ('4','231','16','8','ME PARECE INJUSTO','32');</v>
      </c>
      <c r="P38" t="s">
        <v>884</v>
      </c>
    </row>
    <row r="39" spans="3:16" ht="15" x14ac:dyDescent="0.25">
      <c r="C39" s="16">
        <f t="shared" ca="1" si="1"/>
        <v>7</v>
      </c>
      <c r="D39" s="16">
        <f t="shared" ca="1" si="2"/>
        <v>221</v>
      </c>
      <c r="E39" s="16">
        <f t="shared" ca="1" si="3"/>
        <v>17</v>
      </c>
      <c r="F39" s="16">
        <f t="shared" ca="1" si="6"/>
        <v>1</v>
      </c>
      <c r="G39" s="62" t="str">
        <f t="shared" si="4"/>
        <v>ME PARECE INJUSTO</v>
      </c>
      <c r="H39" s="62">
        <v>33</v>
      </c>
      <c r="J39" s="4" t="str">
        <f t="shared" ca="1" si="5"/>
        <v>INSERT INTO Rendimiento VALUES ('7','221','17','1','ME PARECE INJUSTO','33');</v>
      </c>
      <c r="P39" t="s">
        <v>885</v>
      </c>
    </row>
    <row r="40" spans="3:16" ht="15" x14ac:dyDescent="0.25">
      <c r="C40" s="16">
        <f t="shared" ca="1" si="1"/>
        <v>2</v>
      </c>
      <c r="D40" s="16">
        <f t="shared" ca="1" si="2"/>
        <v>230</v>
      </c>
      <c r="E40" s="16">
        <f t="shared" ca="1" si="3"/>
        <v>12</v>
      </c>
      <c r="F40" s="16">
        <f t="shared" ca="1" si="6"/>
        <v>9</v>
      </c>
      <c r="G40" s="62" t="str">
        <f t="shared" si="4"/>
        <v>ME PARECE INJUSTO</v>
      </c>
      <c r="H40" s="62">
        <v>34</v>
      </c>
      <c r="J40" s="4" t="str">
        <f t="shared" ca="1" si="5"/>
        <v>INSERT INTO Rendimiento VALUES ('2','230','12','9','ME PARECE INJUSTO','34');</v>
      </c>
      <c r="P40" t="s">
        <v>886</v>
      </c>
    </row>
    <row r="41" spans="3:16" ht="15" x14ac:dyDescent="0.25">
      <c r="C41" s="16">
        <f t="shared" ca="1" si="1"/>
        <v>0</v>
      </c>
      <c r="D41" s="16">
        <f t="shared" ca="1" si="2"/>
        <v>197</v>
      </c>
      <c r="E41" s="16">
        <f t="shared" ca="1" si="3"/>
        <v>12</v>
      </c>
      <c r="F41" s="16">
        <f t="shared" ca="1" si="6"/>
        <v>3</v>
      </c>
      <c r="G41" s="62" t="str">
        <f t="shared" si="4"/>
        <v>ME PARECE INJUSTO</v>
      </c>
      <c r="H41" s="62">
        <v>35</v>
      </c>
      <c r="J41" s="4" t="str">
        <f t="shared" ca="1" si="5"/>
        <v>INSERT INTO Rendimiento VALUES ('0','197','12','3','ME PARECE INJUSTO','35');</v>
      </c>
      <c r="P41" t="s">
        <v>887</v>
      </c>
    </row>
    <row r="42" spans="3:16" ht="15" x14ac:dyDescent="0.25">
      <c r="C42" s="16">
        <f t="shared" ca="1" si="1"/>
        <v>7</v>
      </c>
      <c r="D42" s="16">
        <f t="shared" ca="1" si="2"/>
        <v>211</v>
      </c>
      <c r="E42" s="16">
        <f t="shared" ca="1" si="3"/>
        <v>13</v>
      </c>
      <c r="F42" s="16">
        <f t="shared" ca="1" si="6"/>
        <v>3</v>
      </c>
      <c r="G42" s="62" t="str">
        <f t="shared" si="4"/>
        <v>ME PARECE INJUSTO</v>
      </c>
      <c r="H42" s="62">
        <v>36</v>
      </c>
      <c r="J42" s="4" t="str">
        <f t="shared" ca="1" si="5"/>
        <v>INSERT INTO Rendimiento VALUES ('7','211','13','3','ME PARECE INJUSTO','36');</v>
      </c>
      <c r="P42" t="s">
        <v>888</v>
      </c>
    </row>
    <row r="43" spans="3:16" ht="15" x14ac:dyDescent="0.25">
      <c r="C43" s="16">
        <f t="shared" ca="1" si="1"/>
        <v>0</v>
      </c>
      <c r="D43" s="16">
        <f t="shared" ca="1" si="2"/>
        <v>220</v>
      </c>
      <c r="E43" s="16">
        <f t="shared" ca="1" si="3"/>
        <v>15</v>
      </c>
      <c r="F43" s="16">
        <f t="shared" ca="1" si="6"/>
        <v>2</v>
      </c>
      <c r="G43" s="62" t="str">
        <f t="shared" si="4"/>
        <v>ME PARECE BIEN</v>
      </c>
      <c r="H43" s="62">
        <v>37</v>
      </c>
      <c r="J43" s="4" t="str">
        <f t="shared" ca="1" si="5"/>
        <v>INSERT INTO Rendimiento VALUES ('0','220','15','2','ME PARECE BIEN','37');</v>
      </c>
      <c r="P43" t="s">
        <v>889</v>
      </c>
    </row>
    <row r="44" spans="3:16" ht="15" x14ac:dyDescent="0.25">
      <c r="C44" s="16">
        <f t="shared" ca="1" si="1"/>
        <v>8</v>
      </c>
      <c r="D44" s="16">
        <f t="shared" ca="1" si="2"/>
        <v>223</v>
      </c>
      <c r="E44" s="16">
        <f t="shared" ca="1" si="3"/>
        <v>16</v>
      </c>
      <c r="F44" s="16">
        <f t="shared" ca="1" si="6"/>
        <v>7</v>
      </c>
      <c r="G44" s="62" t="str">
        <f t="shared" si="4"/>
        <v>NO OPINO</v>
      </c>
      <c r="H44" s="62">
        <v>38</v>
      </c>
      <c r="J44" s="4" t="str">
        <f t="shared" ca="1" si="5"/>
        <v>INSERT INTO Rendimiento VALUES ('8','223','16','7','NO OPINO','38');</v>
      </c>
      <c r="P44" t="s">
        <v>890</v>
      </c>
    </row>
    <row r="45" spans="3:16" ht="15" x14ac:dyDescent="0.25">
      <c r="C45" s="16">
        <f t="shared" ca="1" si="1"/>
        <v>7</v>
      </c>
      <c r="D45" s="16">
        <f t="shared" ca="1" si="2"/>
        <v>183</v>
      </c>
      <c r="E45" s="16">
        <f t="shared" ca="1" si="3"/>
        <v>8</v>
      </c>
      <c r="F45" s="16">
        <f t="shared" ca="1" si="6"/>
        <v>5</v>
      </c>
      <c r="G45" s="62" t="str">
        <f t="shared" si="4"/>
        <v>ME PARECE MAL</v>
      </c>
      <c r="H45" s="62">
        <v>39</v>
      </c>
      <c r="J45" s="4" t="str">
        <f t="shared" ca="1" si="5"/>
        <v>INSERT INTO Rendimiento VALUES ('7','183','8','5','ME PARECE MAL','39');</v>
      </c>
      <c r="P45" t="s">
        <v>891</v>
      </c>
    </row>
    <row r="46" spans="3:16" ht="15" x14ac:dyDescent="0.25">
      <c r="C46" s="16">
        <f t="shared" ca="1" si="1"/>
        <v>10</v>
      </c>
      <c r="D46" s="16">
        <f t="shared" ca="1" si="2"/>
        <v>190</v>
      </c>
      <c r="E46" s="16">
        <f t="shared" ca="1" si="3"/>
        <v>5</v>
      </c>
      <c r="F46" s="16">
        <f t="shared" ca="1" si="6"/>
        <v>8</v>
      </c>
      <c r="G46" s="62" t="str">
        <f t="shared" si="4"/>
        <v>NO OPINO</v>
      </c>
      <c r="H46" s="62">
        <v>40</v>
      </c>
      <c r="J46" s="4" t="str">
        <f t="shared" ca="1" si="5"/>
        <v>INSERT INTO Rendimiento VALUES ('10','190','5','8','NO OPINO','40');</v>
      </c>
      <c r="P46" t="s">
        <v>892</v>
      </c>
    </row>
    <row r="47" spans="3:16" ht="15" x14ac:dyDescent="0.25">
      <c r="C47" s="16">
        <f t="shared" ca="1" si="1"/>
        <v>1</v>
      </c>
      <c r="D47" s="16">
        <f t="shared" ca="1" si="2"/>
        <v>243</v>
      </c>
      <c r="E47" s="16">
        <f t="shared" ca="1" si="3"/>
        <v>7</v>
      </c>
      <c r="F47" s="16">
        <f t="shared" ca="1" si="6"/>
        <v>8</v>
      </c>
      <c r="G47" s="62" t="str">
        <f t="shared" si="4"/>
        <v>NO OPINO</v>
      </c>
      <c r="H47" s="62">
        <v>41</v>
      </c>
      <c r="J47" s="4" t="str">
        <f t="shared" ca="1" si="5"/>
        <v>INSERT INTO Rendimiento VALUES ('1','243','7','8','NO OPINO','41');</v>
      </c>
      <c r="P47" t="s">
        <v>893</v>
      </c>
    </row>
    <row r="48" spans="3:16" ht="15" x14ac:dyDescent="0.25">
      <c r="C48" s="16">
        <f t="shared" ca="1" si="1"/>
        <v>9</v>
      </c>
      <c r="D48" s="16">
        <f t="shared" ca="1" si="2"/>
        <v>259</v>
      </c>
      <c r="E48" s="16">
        <f t="shared" ca="1" si="3"/>
        <v>5</v>
      </c>
      <c r="F48" s="16">
        <f t="shared" ca="1" si="6"/>
        <v>7</v>
      </c>
      <c r="G48" s="62" t="str">
        <f t="shared" si="4"/>
        <v>ME PARECE MAL</v>
      </c>
      <c r="H48" s="62">
        <v>42</v>
      </c>
      <c r="J48" s="4" t="str">
        <f t="shared" ca="1" si="5"/>
        <v>INSERT INTO Rendimiento VALUES ('9','259','5','7','ME PARECE MAL','42');</v>
      </c>
      <c r="P48" t="s">
        <v>894</v>
      </c>
    </row>
    <row r="49" spans="3:16" ht="15" x14ac:dyDescent="0.25">
      <c r="C49" s="16">
        <f t="shared" ca="1" si="1"/>
        <v>4</v>
      </c>
      <c r="D49" s="16">
        <f t="shared" ca="1" si="2"/>
        <v>215</v>
      </c>
      <c r="E49" s="16">
        <f t="shared" ca="1" si="3"/>
        <v>14</v>
      </c>
      <c r="F49" s="16">
        <f t="shared" ca="1" si="6"/>
        <v>9</v>
      </c>
      <c r="G49" s="62" t="str">
        <f t="shared" si="4"/>
        <v>ME PARECE BIEN</v>
      </c>
      <c r="H49" s="62">
        <v>43</v>
      </c>
      <c r="J49" s="4" t="str">
        <f t="shared" ca="1" si="5"/>
        <v>INSERT INTO Rendimiento VALUES ('4','215','14','9','ME PARECE BIEN','43');</v>
      </c>
      <c r="P49" t="s">
        <v>895</v>
      </c>
    </row>
    <row r="50" spans="3:16" ht="15" x14ac:dyDescent="0.25">
      <c r="C50" s="16">
        <f t="shared" ca="1" si="1"/>
        <v>10</v>
      </c>
      <c r="D50" s="16">
        <f t="shared" ca="1" si="2"/>
        <v>224</v>
      </c>
      <c r="E50" s="16">
        <f t="shared" ca="1" si="3"/>
        <v>16</v>
      </c>
      <c r="F50" s="16">
        <f t="shared" ca="1" si="6"/>
        <v>10</v>
      </c>
      <c r="G50" s="62" t="str">
        <f t="shared" si="4"/>
        <v>ME PARECE MAL</v>
      </c>
      <c r="H50" s="62">
        <v>44</v>
      </c>
      <c r="J50" s="4" t="str">
        <f t="shared" ca="1" si="5"/>
        <v>INSERT INTO Rendimiento VALUES ('10','224','16','10','ME PARECE MAL','44');</v>
      </c>
      <c r="P50" t="s">
        <v>896</v>
      </c>
    </row>
    <row r="51" spans="3:16" ht="15" x14ac:dyDescent="0.25">
      <c r="C51" s="16">
        <f t="shared" ca="1" si="1"/>
        <v>0</v>
      </c>
      <c r="D51" s="16">
        <f t="shared" ca="1" si="2"/>
        <v>254</v>
      </c>
      <c r="E51" s="16">
        <f t="shared" ca="1" si="3"/>
        <v>15</v>
      </c>
      <c r="F51" s="16">
        <f t="shared" ca="1" si="6"/>
        <v>6</v>
      </c>
      <c r="G51" s="62" t="str">
        <f t="shared" si="4"/>
        <v>ME PARECE INJUSTO</v>
      </c>
      <c r="H51" s="62">
        <v>45</v>
      </c>
      <c r="J51" s="4" t="str">
        <f t="shared" ca="1" si="5"/>
        <v>INSERT INTO Rendimiento VALUES ('0','254','15','6','ME PARECE INJUSTO','45');</v>
      </c>
      <c r="P51" t="s">
        <v>897</v>
      </c>
    </row>
    <row r="52" spans="3:16" ht="15" x14ac:dyDescent="0.25">
      <c r="C52" s="16">
        <f t="shared" ca="1" si="1"/>
        <v>10</v>
      </c>
      <c r="D52" s="16">
        <f t="shared" ca="1" si="2"/>
        <v>251</v>
      </c>
      <c r="E52" s="16">
        <f t="shared" ca="1" si="3"/>
        <v>19</v>
      </c>
      <c r="F52" s="16">
        <f t="shared" ca="1" si="6"/>
        <v>6</v>
      </c>
      <c r="G52" s="62" t="str">
        <f t="shared" si="4"/>
        <v>ME PARECE MAL</v>
      </c>
      <c r="H52" s="62">
        <v>46</v>
      </c>
      <c r="J52" s="4" t="str">
        <f t="shared" ca="1" si="5"/>
        <v>INSERT INTO Rendimiento VALUES ('10','251','19','6','ME PARECE MAL','46');</v>
      </c>
      <c r="P52" t="s">
        <v>898</v>
      </c>
    </row>
    <row r="53" spans="3:16" ht="15" x14ac:dyDescent="0.25">
      <c r="C53" s="16">
        <f t="shared" ca="1" si="1"/>
        <v>3</v>
      </c>
      <c r="D53" s="16">
        <f t="shared" ca="1" si="2"/>
        <v>229</v>
      </c>
      <c r="E53" s="16">
        <f t="shared" ca="1" si="3"/>
        <v>17</v>
      </c>
      <c r="F53" s="16">
        <f t="shared" ca="1" si="6"/>
        <v>2</v>
      </c>
      <c r="G53" s="62" t="str">
        <f t="shared" si="4"/>
        <v>ME PARECE BIEN</v>
      </c>
      <c r="H53" s="62">
        <v>47</v>
      </c>
      <c r="J53" s="4" t="str">
        <f t="shared" ca="1" si="5"/>
        <v>INSERT INTO Rendimiento VALUES ('3','229','17','2','ME PARECE BIEN','47');</v>
      </c>
      <c r="P53" t="s">
        <v>899</v>
      </c>
    </row>
    <row r="54" spans="3:16" ht="15" x14ac:dyDescent="0.25">
      <c r="C54" s="16">
        <f t="shared" ca="1" si="1"/>
        <v>3</v>
      </c>
      <c r="D54" s="16">
        <f t="shared" ca="1" si="2"/>
        <v>205</v>
      </c>
      <c r="E54" s="16">
        <f t="shared" ca="1" si="3"/>
        <v>10</v>
      </c>
      <c r="F54" s="16">
        <f t="shared" ca="1" si="6"/>
        <v>1</v>
      </c>
      <c r="G54" s="62" t="str">
        <f t="shared" si="4"/>
        <v>ME PARECE BIEN</v>
      </c>
      <c r="H54" s="62">
        <v>48</v>
      </c>
      <c r="J54" s="4" t="str">
        <f t="shared" ca="1" si="5"/>
        <v>INSERT INTO Rendimiento VALUES ('3','205','10','1','ME PARECE BIEN','48');</v>
      </c>
      <c r="P54" t="s">
        <v>900</v>
      </c>
    </row>
    <row r="55" spans="3:16" ht="15" x14ac:dyDescent="0.25">
      <c r="C55" s="16">
        <f t="shared" ca="1" si="1"/>
        <v>7</v>
      </c>
      <c r="D55" s="16">
        <f t="shared" ca="1" si="2"/>
        <v>210</v>
      </c>
      <c r="E55" s="16">
        <f t="shared" ca="1" si="3"/>
        <v>14</v>
      </c>
      <c r="F55" s="16">
        <f t="shared" ca="1" si="6"/>
        <v>7</v>
      </c>
      <c r="G55" s="62" t="str">
        <f t="shared" si="4"/>
        <v>ME PARECE BIEN</v>
      </c>
      <c r="H55" s="62">
        <v>49</v>
      </c>
      <c r="J55" s="4" t="str">
        <f t="shared" ca="1" si="5"/>
        <v>INSERT INTO Rendimiento VALUES ('7','210','14','7','ME PARECE BIEN','49');</v>
      </c>
      <c r="P55" t="s">
        <v>901</v>
      </c>
    </row>
    <row r="56" spans="3:16" ht="15" x14ac:dyDescent="0.25">
      <c r="C56" s="16">
        <f t="shared" ca="1" si="1"/>
        <v>1</v>
      </c>
      <c r="D56" s="16">
        <f t="shared" ca="1" si="2"/>
        <v>237</v>
      </c>
      <c r="E56" s="16">
        <f t="shared" ca="1" si="3"/>
        <v>18</v>
      </c>
      <c r="F56" s="16">
        <f t="shared" ca="1" si="6"/>
        <v>6</v>
      </c>
      <c r="G56" s="62" t="str">
        <f t="shared" si="4"/>
        <v>ME PARECE INJUSTO</v>
      </c>
      <c r="H56" s="62">
        <v>50</v>
      </c>
      <c r="J56" s="4" t="str">
        <f t="shared" ca="1" si="5"/>
        <v>INSERT INTO Rendimiento VALUES ('1','237','18','6','ME PARECE INJUSTO','50');</v>
      </c>
      <c r="P56" t="s">
        <v>902</v>
      </c>
    </row>
    <row r="57" spans="3:16" ht="15" x14ac:dyDescent="0.25">
      <c r="C57" s="16">
        <f t="shared" ca="1" si="1"/>
        <v>9</v>
      </c>
      <c r="D57" s="16">
        <f t="shared" ca="1" si="2"/>
        <v>217</v>
      </c>
      <c r="E57" s="16">
        <f t="shared" ca="1" si="3"/>
        <v>18</v>
      </c>
      <c r="F57" s="16">
        <f t="shared" ca="1" si="6"/>
        <v>6</v>
      </c>
      <c r="G57" s="62" t="str">
        <f t="shared" si="4"/>
        <v>ME PARECE INJUSTO</v>
      </c>
      <c r="H57" s="62">
        <v>51</v>
      </c>
      <c r="J57" s="4" t="str">
        <f t="shared" ca="1" si="5"/>
        <v>INSERT INTO Rendimiento VALUES ('9','217','18','6','ME PARECE INJUSTO','51');</v>
      </c>
      <c r="P57" t="s">
        <v>903</v>
      </c>
    </row>
    <row r="58" spans="3:16" ht="15" x14ac:dyDescent="0.25">
      <c r="C58" s="16">
        <f t="shared" ca="1" si="1"/>
        <v>5</v>
      </c>
      <c r="D58" s="16">
        <f t="shared" ca="1" si="2"/>
        <v>220</v>
      </c>
      <c r="E58" s="16">
        <f t="shared" ca="1" si="3"/>
        <v>7</v>
      </c>
      <c r="F58" s="16">
        <f t="shared" ca="1" si="6"/>
        <v>9</v>
      </c>
      <c r="G58" s="62" t="str">
        <f t="shared" si="4"/>
        <v>NO OPINO</v>
      </c>
      <c r="H58" s="62">
        <v>52</v>
      </c>
      <c r="J58" s="4" t="str">
        <f t="shared" ca="1" si="5"/>
        <v>INSERT INTO Rendimiento VALUES ('5','220','7','9','NO OPINO','52');</v>
      </c>
      <c r="P58" t="s">
        <v>904</v>
      </c>
    </row>
    <row r="59" spans="3:16" ht="15" x14ac:dyDescent="0.25">
      <c r="C59" s="16">
        <f t="shared" ca="1" si="1"/>
        <v>9</v>
      </c>
      <c r="D59" s="16">
        <f t="shared" ca="1" si="2"/>
        <v>260</v>
      </c>
      <c r="E59" s="16">
        <f t="shared" ca="1" si="3"/>
        <v>10</v>
      </c>
      <c r="F59" s="16">
        <f t="shared" ca="1" si="6"/>
        <v>2</v>
      </c>
      <c r="G59" s="62" t="str">
        <f t="shared" si="4"/>
        <v>ME PARECE BIEN</v>
      </c>
      <c r="H59" s="62">
        <v>53</v>
      </c>
      <c r="J59" s="4" t="str">
        <f t="shared" ca="1" si="5"/>
        <v>INSERT INTO Rendimiento VALUES ('9','260','10','2','ME PARECE BIEN','53');</v>
      </c>
      <c r="P59" t="s">
        <v>905</v>
      </c>
    </row>
    <row r="60" spans="3:16" ht="15" x14ac:dyDescent="0.25">
      <c r="C60" s="16">
        <f t="shared" ca="1" si="1"/>
        <v>7</v>
      </c>
      <c r="D60" s="16">
        <f t="shared" ca="1" si="2"/>
        <v>245</v>
      </c>
      <c r="E60" s="16">
        <f t="shared" ca="1" si="3"/>
        <v>5</v>
      </c>
      <c r="F60" s="16">
        <f t="shared" ca="1" si="6"/>
        <v>9</v>
      </c>
      <c r="G60" s="62" t="str">
        <f t="shared" si="4"/>
        <v>NO OPINO</v>
      </c>
      <c r="H60" s="62">
        <v>54</v>
      </c>
      <c r="J60" s="4" t="str">
        <f t="shared" ca="1" si="5"/>
        <v>INSERT INTO Rendimiento VALUES ('7','245','5','9','NO OPINO','54');</v>
      </c>
      <c r="P60" t="s">
        <v>906</v>
      </c>
    </row>
    <row r="61" spans="3:16" ht="15" x14ac:dyDescent="0.25">
      <c r="C61" s="16">
        <f t="shared" ca="1" si="1"/>
        <v>10</v>
      </c>
      <c r="D61" s="16">
        <f t="shared" ca="1" si="2"/>
        <v>243</v>
      </c>
      <c r="E61" s="16">
        <f t="shared" ca="1" si="3"/>
        <v>11</v>
      </c>
      <c r="F61" s="16">
        <f t="shared" ca="1" si="6"/>
        <v>7</v>
      </c>
      <c r="G61" s="62" t="str">
        <f t="shared" si="4"/>
        <v>ME PARECE INJUSTO</v>
      </c>
      <c r="H61" s="62">
        <v>55</v>
      </c>
      <c r="J61" s="4" t="str">
        <f t="shared" ca="1" si="5"/>
        <v>INSERT INTO Rendimiento VALUES ('10','243','11','7','ME PARECE INJUSTO','55');</v>
      </c>
      <c r="P61" t="s">
        <v>907</v>
      </c>
    </row>
    <row r="62" spans="3:16" ht="15" x14ac:dyDescent="0.25">
      <c r="C62" s="16">
        <f t="shared" ca="1" si="1"/>
        <v>1</v>
      </c>
      <c r="D62" s="16">
        <f t="shared" ca="1" si="2"/>
        <v>231</v>
      </c>
      <c r="E62" s="16">
        <f t="shared" ca="1" si="3"/>
        <v>12</v>
      </c>
      <c r="F62" s="16">
        <f t="shared" ca="1" si="6"/>
        <v>6</v>
      </c>
      <c r="G62" s="62" t="str">
        <f t="shared" si="4"/>
        <v>NO OPINO</v>
      </c>
      <c r="H62" s="62">
        <v>56</v>
      </c>
      <c r="J62" s="4" t="str">
        <f t="shared" ca="1" si="5"/>
        <v>INSERT INTO Rendimiento VALUES ('1','231','12','6','NO OPINO','56');</v>
      </c>
      <c r="P62" t="s">
        <v>908</v>
      </c>
    </row>
    <row r="63" spans="3:16" ht="15" x14ac:dyDescent="0.25">
      <c r="C63" s="16">
        <f t="shared" ca="1" si="1"/>
        <v>5</v>
      </c>
      <c r="D63" s="16">
        <f t="shared" ca="1" si="2"/>
        <v>244</v>
      </c>
      <c r="E63" s="16">
        <f t="shared" ca="1" si="3"/>
        <v>16</v>
      </c>
      <c r="F63" s="16">
        <f t="shared" ca="1" si="6"/>
        <v>10</v>
      </c>
      <c r="G63" s="62" t="str">
        <f t="shared" si="4"/>
        <v>ME PARECE MAL</v>
      </c>
      <c r="H63" s="62">
        <v>57</v>
      </c>
      <c r="J63" s="4" t="str">
        <f t="shared" ca="1" si="5"/>
        <v>INSERT INTO Rendimiento VALUES ('5','244','16','10','ME PARECE MAL','57');</v>
      </c>
      <c r="P63" t="s">
        <v>909</v>
      </c>
    </row>
    <row r="64" spans="3:16" ht="15" x14ac:dyDescent="0.25">
      <c r="C64" s="16">
        <f t="shared" ca="1" si="1"/>
        <v>9</v>
      </c>
      <c r="D64" s="16">
        <f t="shared" ca="1" si="2"/>
        <v>212</v>
      </c>
      <c r="E64" s="16">
        <f t="shared" ca="1" si="3"/>
        <v>17</v>
      </c>
      <c r="F64" s="16">
        <f t="shared" ca="1" si="6"/>
        <v>3</v>
      </c>
      <c r="G64" s="62" t="str">
        <f t="shared" si="4"/>
        <v>NO OPINO</v>
      </c>
      <c r="H64" s="62">
        <v>58</v>
      </c>
      <c r="J64" s="4" t="str">
        <f t="shared" ca="1" si="5"/>
        <v>INSERT INTO Rendimiento VALUES ('9','212','17','3','NO OPINO','58');</v>
      </c>
      <c r="P64" t="s">
        <v>910</v>
      </c>
    </row>
    <row r="65" spans="3:16" ht="15" x14ac:dyDescent="0.25">
      <c r="C65" s="16">
        <f t="shared" ca="1" si="1"/>
        <v>10</v>
      </c>
      <c r="D65" s="16">
        <f t="shared" ca="1" si="2"/>
        <v>257</v>
      </c>
      <c r="E65" s="16">
        <f t="shared" ca="1" si="3"/>
        <v>16</v>
      </c>
      <c r="F65" s="16">
        <f t="shared" ca="1" si="6"/>
        <v>6</v>
      </c>
      <c r="G65" s="62" t="str">
        <f t="shared" si="4"/>
        <v>ME PARECE MAL</v>
      </c>
      <c r="H65" s="62">
        <v>59</v>
      </c>
      <c r="J65" s="4" t="str">
        <f t="shared" ca="1" si="5"/>
        <v>INSERT INTO Rendimiento VALUES ('10','257','16','6','ME PARECE MAL','59');</v>
      </c>
      <c r="P65" t="s">
        <v>911</v>
      </c>
    </row>
    <row r="66" spans="3:16" ht="15" x14ac:dyDescent="0.25">
      <c r="C66" s="16">
        <f t="shared" ca="1" si="1"/>
        <v>6</v>
      </c>
      <c r="D66" s="16">
        <f t="shared" ca="1" si="2"/>
        <v>239</v>
      </c>
      <c r="E66" s="16">
        <f t="shared" ca="1" si="3"/>
        <v>12</v>
      </c>
      <c r="F66" s="16">
        <f t="shared" ca="1" si="6"/>
        <v>0</v>
      </c>
      <c r="G66" s="62" t="str">
        <f t="shared" si="4"/>
        <v>ME PARECE INJUSTO</v>
      </c>
      <c r="H66" s="62">
        <v>60</v>
      </c>
      <c r="J66" s="4" t="str">
        <f t="shared" ca="1" si="5"/>
        <v>INSERT INTO Rendimiento VALUES ('6','239','12','0','ME PARECE INJUSTO','60');</v>
      </c>
      <c r="P66" t="s">
        <v>912</v>
      </c>
    </row>
    <row r="67" spans="3:16" ht="15" x14ac:dyDescent="0.25">
      <c r="C67" s="16">
        <f t="shared" ca="1" si="1"/>
        <v>5</v>
      </c>
      <c r="D67" s="16">
        <f t="shared" ca="1" si="2"/>
        <v>210</v>
      </c>
      <c r="E67" s="16">
        <f t="shared" ca="1" si="3"/>
        <v>20</v>
      </c>
      <c r="F67" s="16">
        <f t="shared" ca="1" si="6"/>
        <v>1</v>
      </c>
      <c r="G67" s="62" t="str">
        <f t="shared" si="4"/>
        <v>NO OPINO</v>
      </c>
      <c r="H67" s="62">
        <v>61</v>
      </c>
      <c r="J67" s="4" t="str">
        <f t="shared" ca="1" si="5"/>
        <v>INSERT INTO Rendimiento VALUES ('5','210','20','1','NO OPINO','61');</v>
      </c>
      <c r="P67" t="s">
        <v>913</v>
      </c>
    </row>
    <row r="68" spans="3:16" ht="15" x14ac:dyDescent="0.25">
      <c r="C68" s="16">
        <f t="shared" ca="1" si="1"/>
        <v>2</v>
      </c>
      <c r="D68" s="16">
        <f t="shared" ca="1" si="2"/>
        <v>189</v>
      </c>
      <c r="E68" s="16">
        <f t="shared" ca="1" si="3"/>
        <v>12</v>
      </c>
      <c r="F68" s="16">
        <f t="shared" ca="1" si="6"/>
        <v>8</v>
      </c>
      <c r="G68" s="62" t="str">
        <f t="shared" si="4"/>
        <v>ME PARECE MAL</v>
      </c>
      <c r="H68" s="62">
        <v>62</v>
      </c>
      <c r="J68" s="4" t="str">
        <f t="shared" ca="1" si="5"/>
        <v>INSERT INTO Rendimiento VALUES ('2','189','12','8','ME PARECE MAL','62');</v>
      </c>
      <c r="P68" t="s">
        <v>914</v>
      </c>
    </row>
    <row r="69" spans="3:16" ht="15" x14ac:dyDescent="0.25">
      <c r="C69" s="16">
        <f t="shared" ca="1" si="1"/>
        <v>1</v>
      </c>
      <c r="D69" s="16">
        <f t="shared" ca="1" si="2"/>
        <v>243</v>
      </c>
      <c r="E69" s="16">
        <f t="shared" ca="1" si="3"/>
        <v>5</v>
      </c>
      <c r="F69" s="16">
        <f t="shared" ca="1" si="6"/>
        <v>0</v>
      </c>
      <c r="G69" s="62" t="str">
        <f t="shared" si="4"/>
        <v>ME PARECE MAL</v>
      </c>
      <c r="H69" s="62">
        <v>63</v>
      </c>
      <c r="J69" s="4" t="str">
        <f t="shared" ca="1" si="5"/>
        <v>INSERT INTO Rendimiento VALUES ('1','243','5','0','ME PARECE MAL','63');</v>
      </c>
      <c r="P69" t="s">
        <v>915</v>
      </c>
    </row>
    <row r="70" spans="3:16" ht="15" x14ac:dyDescent="0.25">
      <c r="C70" s="16">
        <f t="shared" ca="1" si="1"/>
        <v>8</v>
      </c>
      <c r="D70" s="16">
        <f t="shared" ca="1" si="2"/>
        <v>183</v>
      </c>
      <c r="E70" s="16">
        <f t="shared" ca="1" si="3"/>
        <v>8</v>
      </c>
      <c r="F70" s="16">
        <f t="shared" ca="1" si="6"/>
        <v>0</v>
      </c>
      <c r="G70" s="62" t="str">
        <f t="shared" si="4"/>
        <v>ME PARECE INJUSTO</v>
      </c>
      <c r="H70" s="62">
        <v>64</v>
      </c>
      <c r="J70" s="4" t="str">
        <f t="shared" ca="1" si="5"/>
        <v>INSERT INTO Rendimiento VALUES ('8','183','8','0','ME PARECE INJUSTO','64');</v>
      </c>
      <c r="P70" t="s">
        <v>916</v>
      </c>
    </row>
    <row r="71" spans="3:16" ht="15" x14ac:dyDescent="0.25">
      <c r="C71" s="16">
        <f t="shared" ca="1" si="1"/>
        <v>8</v>
      </c>
      <c r="D71" s="16">
        <f t="shared" ca="1" si="2"/>
        <v>205</v>
      </c>
      <c r="E71" s="16">
        <f t="shared" ca="1" si="3"/>
        <v>11</v>
      </c>
      <c r="F71" s="16">
        <f t="shared" ca="1" si="6"/>
        <v>1</v>
      </c>
      <c r="G71" s="62" t="str">
        <f t="shared" si="4"/>
        <v>ME PARECE INJUSTO</v>
      </c>
      <c r="H71" s="62">
        <v>65</v>
      </c>
      <c r="J71" s="4" t="str">
        <f t="shared" ca="1" si="5"/>
        <v>INSERT INTO Rendimiento VALUES ('8','205','11','1','ME PARECE INJUSTO','65');</v>
      </c>
      <c r="P71" t="s">
        <v>917</v>
      </c>
    </row>
    <row r="72" spans="3:16" ht="15" x14ac:dyDescent="0.25">
      <c r="C72" s="16">
        <f t="shared" ref="C72:C111" ca="1" si="7">RANDBETWEEN(0,10)</f>
        <v>3</v>
      </c>
      <c r="D72" s="16">
        <f t="shared" ref="D72:D111" ca="1" si="8">RANDBETWEEN(180,260)</f>
        <v>183</v>
      </c>
      <c r="E72" s="16">
        <f t="shared" ref="E72:E111" ca="1" si="9">RANDBETWEEN(5,20)</f>
        <v>9</v>
      </c>
      <c r="F72" s="16">
        <f t="shared" ca="1" si="6"/>
        <v>7</v>
      </c>
      <c r="G72" s="62" t="str">
        <f t="shared" ref="G72:G111" si="10">RandomSelection($A$6:$A$9)</f>
        <v>ME PARECE BIEN</v>
      </c>
      <c r="H72" s="62">
        <v>66</v>
      </c>
      <c r="J72" s="4" t="str">
        <f t="shared" ref="J72:J106" ca="1" si="11">"INSERT INTO Rendimiento VALUES ('"&amp;C72&amp;"','"&amp;D72&amp;"','"&amp;E72&amp;"','"&amp;F72&amp;"','"&amp;G72&amp;"','"&amp;H72&amp;"');"</f>
        <v>INSERT INTO Rendimiento VALUES ('3','183','9','7','ME PARECE BIEN','66');</v>
      </c>
      <c r="P72" t="s">
        <v>918</v>
      </c>
    </row>
    <row r="73" spans="3:16" ht="15" x14ac:dyDescent="0.25">
      <c r="C73" s="16">
        <f t="shared" ca="1" si="7"/>
        <v>3</v>
      </c>
      <c r="D73" s="16">
        <f t="shared" ca="1" si="8"/>
        <v>257</v>
      </c>
      <c r="E73" s="16">
        <f t="shared" ca="1" si="9"/>
        <v>7</v>
      </c>
      <c r="F73" s="16">
        <f t="shared" ca="1" si="6"/>
        <v>0</v>
      </c>
      <c r="G73" s="62" t="str">
        <f t="shared" si="10"/>
        <v>ME PARECE MAL</v>
      </c>
      <c r="H73" s="62">
        <v>67</v>
      </c>
      <c r="J73" s="4" t="str">
        <f t="shared" ca="1" si="11"/>
        <v>INSERT INTO Rendimiento VALUES ('3','257','7','0','ME PARECE MAL','67');</v>
      </c>
      <c r="P73" t="s">
        <v>919</v>
      </c>
    </row>
    <row r="74" spans="3:16" ht="15" x14ac:dyDescent="0.25">
      <c r="C74" s="16">
        <f t="shared" ca="1" si="7"/>
        <v>6</v>
      </c>
      <c r="D74" s="16">
        <f t="shared" ca="1" si="8"/>
        <v>225</v>
      </c>
      <c r="E74" s="16">
        <f t="shared" ca="1" si="9"/>
        <v>20</v>
      </c>
      <c r="F74" s="16">
        <f t="shared" ca="1" si="6"/>
        <v>8</v>
      </c>
      <c r="G74" s="62" t="str">
        <f t="shared" si="10"/>
        <v>ME PARECE MAL</v>
      </c>
      <c r="H74" s="62">
        <v>68</v>
      </c>
      <c r="J74" s="4" t="str">
        <f t="shared" ca="1" si="11"/>
        <v>INSERT INTO Rendimiento VALUES ('6','225','20','8','ME PARECE MAL','68');</v>
      </c>
      <c r="P74" t="s">
        <v>920</v>
      </c>
    </row>
    <row r="75" spans="3:16" ht="15" x14ac:dyDescent="0.25">
      <c r="C75" s="16">
        <f t="shared" ca="1" si="7"/>
        <v>1</v>
      </c>
      <c r="D75" s="16">
        <f t="shared" ca="1" si="8"/>
        <v>250</v>
      </c>
      <c r="E75" s="16">
        <f t="shared" ca="1" si="9"/>
        <v>17</v>
      </c>
      <c r="F75" s="16">
        <f t="shared" ca="1" si="6"/>
        <v>4</v>
      </c>
      <c r="G75" s="62" t="str">
        <f t="shared" si="10"/>
        <v>NO OPINO</v>
      </c>
      <c r="H75" s="62">
        <v>69</v>
      </c>
      <c r="J75" s="4" t="str">
        <f t="shared" ca="1" si="11"/>
        <v>INSERT INTO Rendimiento VALUES ('1','250','17','4','NO OPINO','69');</v>
      </c>
      <c r="P75" t="s">
        <v>921</v>
      </c>
    </row>
    <row r="76" spans="3:16" ht="15" x14ac:dyDescent="0.25">
      <c r="C76" s="16">
        <f t="shared" ca="1" si="7"/>
        <v>2</v>
      </c>
      <c r="D76" s="16">
        <f t="shared" ca="1" si="8"/>
        <v>260</v>
      </c>
      <c r="E76" s="16">
        <f t="shared" ca="1" si="9"/>
        <v>18</v>
      </c>
      <c r="F76" s="16">
        <f t="shared" ca="1" si="6"/>
        <v>0</v>
      </c>
      <c r="G76" s="62" t="str">
        <f t="shared" si="10"/>
        <v>ME PARECE MAL</v>
      </c>
      <c r="H76" s="62">
        <v>70</v>
      </c>
      <c r="J76" s="4" t="str">
        <f t="shared" ca="1" si="11"/>
        <v>INSERT INTO Rendimiento VALUES ('2','260','18','0','ME PARECE MAL','70');</v>
      </c>
      <c r="P76" t="s">
        <v>922</v>
      </c>
    </row>
    <row r="77" spans="3:16" ht="15" x14ac:dyDescent="0.25">
      <c r="C77" s="16">
        <f t="shared" ca="1" si="7"/>
        <v>7</v>
      </c>
      <c r="D77" s="16">
        <f t="shared" ca="1" si="8"/>
        <v>207</v>
      </c>
      <c r="E77" s="16">
        <f t="shared" ca="1" si="9"/>
        <v>5</v>
      </c>
      <c r="F77" s="16">
        <f t="shared" ca="1" si="6"/>
        <v>2</v>
      </c>
      <c r="G77" s="62" t="str">
        <f t="shared" si="10"/>
        <v>NO OPINO</v>
      </c>
      <c r="H77" s="62">
        <v>71</v>
      </c>
      <c r="J77" s="4" t="str">
        <f t="shared" ca="1" si="11"/>
        <v>INSERT INTO Rendimiento VALUES ('7','207','5','2','NO OPINO','71');</v>
      </c>
      <c r="P77" t="s">
        <v>923</v>
      </c>
    </row>
    <row r="78" spans="3:16" ht="15" x14ac:dyDescent="0.25">
      <c r="C78" s="16">
        <f t="shared" ca="1" si="7"/>
        <v>8</v>
      </c>
      <c r="D78" s="16">
        <f t="shared" ca="1" si="8"/>
        <v>215</v>
      </c>
      <c r="E78" s="16">
        <f t="shared" ca="1" si="9"/>
        <v>9</v>
      </c>
      <c r="F78" s="16">
        <f t="shared" ca="1" si="6"/>
        <v>9</v>
      </c>
      <c r="G78" s="62" t="str">
        <f t="shared" si="10"/>
        <v>NO OPINO</v>
      </c>
      <c r="H78" s="62">
        <v>72</v>
      </c>
      <c r="J78" s="4" t="str">
        <f t="shared" ca="1" si="11"/>
        <v>INSERT INTO Rendimiento VALUES ('8','215','9','9','NO OPINO','72');</v>
      </c>
      <c r="P78" t="s">
        <v>924</v>
      </c>
    </row>
    <row r="79" spans="3:16" ht="15" x14ac:dyDescent="0.25">
      <c r="C79" s="16">
        <f t="shared" ca="1" si="7"/>
        <v>8</v>
      </c>
      <c r="D79" s="16">
        <f t="shared" ca="1" si="8"/>
        <v>241</v>
      </c>
      <c r="E79" s="16">
        <f t="shared" ca="1" si="9"/>
        <v>10</v>
      </c>
      <c r="F79" s="16">
        <f t="shared" ca="1" si="6"/>
        <v>1</v>
      </c>
      <c r="G79" s="62" t="str">
        <f t="shared" si="10"/>
        <v>ME PARECE BIEN</v>
      </c>
      <c r="H79" s="62">
        <v>73</v>
      </c>
      <c r="J79" s="4" t="str">
        <f t="shared" ca="1" si="11"/>
        <v>INSERT INTO Rendimiento VALUES ('8','241','10','1','ME PARECE BIEN','73');</v>
      </c>
      <c r="P79" t="s">
        <v>925</v>
      </c>
    </row>
    <row r="80" spans="3:16" ht="15" x14ac:dyDescent="0.25">
      <c r="C80" s="16">
        <f t="shared" ca="1" si="7"/>
        <v>3</v>
      </c>
      <c r="D80" s="16">
        <f t="shared" ca="1" si="8"/>
        <v>251</v>
      </c>
      <c r="E80" s="16">
        <f t="shared" ca="1" si="9"/>
        <v>13</v>
      </c>
      <c r="F80" s="16">
        <f t="shared" ca="1" si="6"/>
        <v>1</v>
      </c>
      <c r="G80" s="62" t="str">
        <f t="shared" si="10"/>
        <v>NO OPINO</v>
      </c>
      <c r="H80" s="62">
        <v>74</v>
      </c>
      <c r="J80" s="4" t="str">
        <f t="shared" ca="1" si="11"/>
        <v>INSERT INTO Rendimiento VALUES ('3','251','13','1','NO OPINO','74');</v>
      </c>
      <c r="P80" t="s">
        <v>926</v>
      </c>
    </row>
    <row r="81" spans="3:16" ht="15" x14ac:dyDescent="0.25">
      <c r="C81" s="16">
        <f t="shared" ca="1" si="7"/>
        <v>3</v>
      </c>
      <c r="D81" s="16">
        <f t="shared" ca="1" si="8"/>
        <v>186</v>
      </c>
      <c r="E81" s="16">
        <f t="shared" ca="1" si="9"/>
        <v>15</v>
      </c>
      <c r="F81" s="16">
        <f t="shared" ca="1" si="6"/>
        <v>1</v>
      </c>
      <c r="G81" s="62" t="str">
        <f t="shared" si="10"/>
        <v>ME PARECE INJUSTO</v>
      </c>
      <c r="H81" s="62">
        <v>75</v>
      </c>
      <c r="J81" s="4" t="str">
        <f t="shared" ca="1" si="11"/>
        <v>INSERT INTO Rendimiento VALUES ('3','186','15','1','ME PARECE INJUSTO','75');</v>
      </c>
      <c r="P81" t="s">
        <v>927</v>
      </c>
    </row>
    <row r="82" spans="3:16" ht="15" x14ac:dyDescent="0.25">
      <c r="C82" s="16">
        <f t="shared" ca="1" si="7"/>
        <v>7</v>
      </c>
      <c r="D82" s="16">
        <f t="shared" ca="1" si="8"/>
        <v>206</v>
      </c>
      <c r="E82" s="16">
        <f t="shared" ca="1" si="9"/>
        <v>7</v>
      </c>
      <c r="F82" s="16">
        <f t="shared" ca="1" si="6"/>
        <v>1</v>
      </c>
      <c r="G82" s="62" t="str">
        <f t="shared" si="10"/>
        <v>NO OPINO</v>
      </c>
      <c r="H82" s="62">
        <v>76</v>
      </c>
      <c r="J82" s="4" t="str">
        <f t="shared" ca="1" si="11"/>
        <v>INSERT INTO Rendimiento VALUES ('7','206','7','1','NO OPINO','76');</v>
      </c>
      <c r="P82" t="s">
        <v>928</v>
      </c>
    </row>
    <row r="83" spans="3:16" ht="15" x14ac:dyDescent="0.25">
      <c r="C83" s="16">
        <f t="shared" ca="1" si="7"/>
        <v>6</v>
      </c>
      <c r="D83" s="16">
        <f t="shared" ca="1" si="8"/>
        <v>257</v>
      </c>
      <c r="E83" s="16">
        <f t="shared" ca="1" si="9"/>
        <v>5</v>
      </c>
      <c r="F83" s="16">
        <f t="shared" ca="1" si="6"/>
        <v>0</v>
      </c>
      <c r="G83" s="62" t="str">
        <f t="shared" si="10"/>
        <v>ME PARECE BIEN</v>
      </c>
      <c r="H83" s="62">
        <v>77</v>
      </c>
      <c r="J83" s="4" t="str">
        <f t="shared" ca="1" si="11"/>
        <v>INSERT INTO Rendimiento VALUES ('6','257','5','0','ME PARECE BIEN','77');</v>
      </c>
      <c r="P83" t="s">
        <v>929</v>
      </c>
    </row>
    <row r="84" spans="3:16" ht="15" x14ac:dyDescent="0.25">
      <c r="C84" s="16">
        <f t="shared" ca="1" si="7"/>
        <v>5</v>
      </c>
      <c r="D84" s="16">
        <f t="shared" ca="1" si="8"/>
        <v>200</v>
      </c>
      <c r="E84" s="16">
        <f t="shared" ca="1" si="9"/>
        <v>5</v>
      </c>
      <c r="F84" s="16">
        <f t="shared" ca="1" si="6"/>
        <v>2</v>
      </c>
      <c r="G84" s="62" t="str">
        <f t="shared" si="10"/>
        <v>ME PARECE INJUSTO</v>
      </c>
      <c r="H84" s="62">
        <v>78</v>
      </c>
      <c r="J84" s="4" t="str">
        <f t="shared" ca="1" si="11"/>
        <v>INSERT INTO Rendimiento VALUES ('5','200','5','2','ME PARECE INJUSTO','78');</v>
      </c>
      <c r="P84" t="s">
        <v>930</v>
      </c>
    </row>
    <row r="85" spans="3:16" ht="15" x14ac:dyDescent="0.25">
      <c r="C85" s="16">
        <f t="shared" ca="1" si="7"/>
        <v>4</v>
      </c>
      <c r="D85" s="16">
        <f t="shared" ca="1" si="8"/>
        <v>187</v>
      </c>
      <c r="E85" s="16">
        <f t="shared" ca="1" si="9"/>
        <v>9</v>
      </c>
      <c r="F85" s="16">
        <f t="shared" ca="1" si="6"/>
        <v>4</v>
      </c>
      <c r="G85" s="62" t="str">
        <f t="shared" si="10"/>
        <v>NO OPINO</v>
      </c>
      <c r="H85" s="62">
        <v>79</v>
      </c>
      <c r="J85" s="4" t="str">
        <f t="shared" ca="1" si="11"/>
        <v>INSERT INTO Rendimiento VALUES ('4','187','9','4','NO OPINO','79');</v>
      </c>
      <c r="P85" t="s">
        <v>931</v>
      </c>
    </row>
    <row r="86" spans="3:16" ht="15" x14ac:dyDescent="0.25">
      <c r="C86" s="16">
        <f t="shared" ca="1" si="7"/>
        <v>7</v>
      </c>
      <c r="D86" s="16">
        <f t="shared" ca="1" si="8"/>
        <v>207</v>
      </c>
      <c r="E86" s="16">
        <f t="shared" ca="1" si="9"/>
        <v>5</v>
      </c>
      <c r="F86" s="16">
        <f t="shared" ca="1" si="6"/>
        <v>7</v>
      </c>
      <c r="G86" s="62" t="str">
        <f t="shared" si="10"/>
        <v>ME PARECE BIEN</v>
      </c>
      <c r="H86" s="62">
        <v>80</v>
      </c>
      <c r="J86" s="4" t="str">
        <f t="shared" ca="1" si="11"/>
        <v>INSERT INTO Rendimiento VALUES ('7','207','5','7','ME PARECE BIEN','80');</v>
      </c>
      <c r="P86" t="s">
        <v>932</v>
      </c>
    </row>
    <row r="87" spans="3:16" ht="15" x14ac:dyDescent="0.25">
      <c r="C87" s="16">
        <f t="shared" ca="1" si="7"/>
        <v>3</v>
      </c>
      <c r="D87" s="16">
        <f t="shared" ca="1" si="8"/>
        <v>216</v>
      </c>
      <c r="E87" s="16">
        <f t="shared" ca="1" si="9"/>
        <v>11</v>
      </c>
      <c r="F87" s="16">
        <f t="shared" ref="F87:F111" ca="1" si="12">RANDBETWEEN(0,10)</f>
        <v>10</v>
      </c>
      <c r="G87" s="62" t="str">
        <f t="shared" si="10"/>
        <v>NO OPINO</v>
      </c>
      <c r="H87" s="62">
        <v>81</v>
      </c>
      <c r="J87" s="4" t="str">
        <f t="shared" ca="1" si="11"/>
        <v>INSERT INTO Rendimiento VALUES ('3','216','11','10','NO OPINO','81');</v>
      </c>
      <c r="P87" t="s">
        <v>933</v>
      </c>
    </row>
    <row r="88" spans="3:16" ht="15" x14ac:dyDescent="0.25">
      <c r="C88" s="16">
        <f t="shared" ca="1" si="7"/>
        <v>5</v>
      </c>
      <c r="D88" s="16">
        <f t="shared" ca="1" si="8"/>
        <v>208</v>
      </c>
      <c r="E88" s="16">
        <f t="shared" ca="1" si="9"/>
        <v>9</v>
      </c>
      <c r="F88" s="16">
        <f t="shared" ca="1" si="12"/>
        <v>8</v>
      </c>
      <c r="G88" s="62" t="str">
        <f t="shared" si="10"/>
        <v>ME PARECE MAL</v>
      </c>
      <c r="H88" s="62">
        <v>82</v>
      </c>
      <c r="J88" s="4" t="str">
        <f t="shared" ca="1" si="11"/>
        <v>INSERT INTO Rendimiento VALUES ('5','208','9','8','ME PARECE MAL','82');</v>
      </c>
      <c r="P88" t="s">
        <v>934</v>
      </c>
    </row>
    <row r="89" spans="3:16" ht="15" x14ac:dyDescent="0.25">
      <c r="C89" s="16">
        <f t="shared" ca="1" si="7"/>
        <v>1</v>
      </c>
      <c r="D89" s="16">
        <f t="shared" ca="1" si="8"/>
        <v>187</v>
      </c>
      <c r="E89" s="16">
        <f t="shared" ca="1" si="9"/>
        <v>16</v>
      </c>
      <c r="F89" s="16">
        <f t="shared" ca="1" si="12"/>
        <v>3</v>
      </c>
      <c r="G89" s="62" t="str">
        <f t="shared" si="10"/>
        <v>ME PARECE BIEN</v>
      </c>
      <c r="H89" s="62">
        <v>83</v>
      </c>
      <c r="J89" s="4" t="str">
        <f t="shared" ca="1" si="11"/>
        <v>INSERT INTO Rendimiento VALUES ('1','187','16','3','ME PARECE BIEN','83');</v>
      </c>
      <c r="P89" t="s">
        <v>935</v>
      </c>
    </row>
    <row r="90" spans="3:16" ht="15" x14ac:dyDescent="0.25">
      <c r="C90" s="16">
        <f t="shared" ca="1" si="7"/>
        <v>2</v>
      </c>
      <c r="D90" s="16">
        <f t="shared" ca="1" si="8"/>
        <v>228</v>
      </c>
      <c r="E90" s="16">
        <f t="shared" ca="1" si="9"/>
        <v>6</v>
      </c>
      <c r="F90" s="16">
        <f t="shared" ca="1" si="12"/>
        <v>10</v>
      </c>
      <c r="G90" s="62" t="str">
        <f t="shared" si="10"/>
        <v>ME PARECE BIEN</v>
      </c>
      <c r="H90" s="62">
        <v>84</v>
      </c>
      <c r="J90" s="4" t="str">
        <f t="shared" ca="1" si="11"/>
        <v>INSERT INTO Rendimiento VALUES ('2','228','6','10','ME PARECE BIEN','84');</v>
      </c>
      <c r="P90" t="s">
        <v>936</v>
      </c>
    </row>
    <row r="91" spans="3:16" ht="15" x14ac:dyDescent="0.25">
      <c r="C91" s="16">
        <f t="shared" ca="1" si="7"/>
        <v>7</v>
      </c>
      <c r="D91" s="16">
        <f t="shared" ca="1" si="8"/>
        <v>185</v>
      </c>
      <c r="E91" s="16">
        <f t="shared" ca="1" si="9"/>
        <v>11</v>
      </c>
      <c r="F91" s="16">
        <f t="shared" ca="1" si="12"/>
        <v>3</v>
      </c>
      <c r="G91" s="62" t="str">
        <f t="shared" si="10"/>
        <v>ME PARECE MAL</v>
      </c>
      <c r="H91" s="62">
        <v>85</v>
      </c>
      <c r="J91" s="4" t="str">
        <f t="shared" ca="1" si="11"/>
        <v>INSERT INTO Rendimiento VALUES ('7','185','11','3','ME PARECE MAL','85');</v>
      </c>
      <c r="P91" t="s">
        <v>937</v>
      </c>
    </row>
    <row r="92" spans="3:16" ht="15" x14ac:dyDescent="0.25">
      <c r="C92" s="16">
        <f t="shared" ca="1" si="7"/>
        <v>2</v>
      </c>
      <c r="D92" s="16">
        <f t="shared" ca="1" si="8"/>
        <v>238</v>
      </c>
      <c r="E92" s="16">
        <f t="shared" ca="1" si="9"/>
        <v>17</v>
      </c>
      <c r="F92" s="16">
        <f t="shared" ca="1" si="12"/>
        <v>10</v>
      </c>
      <c r="G92" s="62" t="str">
        <f t="shared" si="10"/>
        <v>NO OPINO</v>
      </c>
      <c r="H92" s="62">
        <v>86</v>
      </c>
      <c r="J92" s="4" t="str">
        <f t="shared" ca="1" si="11"/>
        <v>INSERT INTO Rendimiento VALUES ('2','238','17','10','NO OPINO','86');</v>
      </c>
      <c r="P92" t="s">
        <v>938</v>
      </c>
    </row>
    <row r="93" spans="3:16" ht="15" x14ac:dyDescent="0.25">
      <c r="C93" s="16">
        <f t="shared" ca="1" si="7"/>
        <v>8</v>
      </c>
      <c r="D93" s="16">
        <f t="shared" ca="1" si="8"/>
        <v>242</v>
      </c>
      <c r="E93" s="16">
        <f t="shared" ca="1" si="9"/>
        <v>16</v>
      </c>
      <c r="F93" s="16">
        <f t="shared" ca="1" si="12"/>
        <v>2</v>
      </c>
      <c r="G93" s="62" t="str">
        <f t="shared" si="10"/>
        <v>ME PARECE MAL</v>
      </c>
      <c r="H93" s="62">
        <v>87</v>
      </c>
      <c r="J93" s="4" t="str">
        <f t="shared" ca="1" si="11"/>
        <v>INSERT INTO Rendimiento VALUES ('8','242','16','2','ME PARECE MAL','87');</v>
      </c>
      <c r="P93" t="s">
        <v>939</v>
      </c>
    </row>
    <row r="94" spans="3:16" ht="15" x14ac:dyDescent="0.25">
      <c r="C94" s="16">
        <f t="shared" ca="1" si="7"/>
        <v>10</v>
      </c>
      <c r="D94" s="16">
        <f t="shared" ca="1" si="8"/>
        <v>246</v>
      </c>
      <c r="E94" s="16">
        <f t="shared" ca="1" si="9"/>
        <v>13</v>
      </c>
      <c r="F94" s="16">
        <f t="shared" ca="1" si="12"/>
        <v>10</v>
      </c>
      <c r="G94" s="62" t="str">
        <f t="shared" si="10"/>
        <v>ME PARECE MAL</v>
      </c>
      <c r="H94" s="62">
        <v>88</v>
      </c>
      <c r="J94" s="4" t="str">
        <f t="shared" ca="1" si="11"/>
        <v>INSERT INTO Rendimiento VALUES ('10','246','13','10','ME PARECE MAL','88');</v>
      </c>
      <c r="P94" t="s">
        <v>940</v>
      </c>
    </row>
    <row r="95" spans="3:16" ht="15" x14ac:dyDescent="0.25">
      <c r="C95" s="16">
        <f t="shared" ca="1" si="7"/>
        <v>9</v>
      </c>
      <c r="D95" s="16">
        <f t="shared" ca="1" si="8"/>
        <v>251</v>
      </c>
      <c r="E95" s="16">
        <f t="shared" ca="1" si="9"/>
        <v>6</v>
      </c>
      <c r="F95" s="16">
        <f t="shared" ca="1" si="12"/>
        <v>7</v>
      </c>
      <c r="G95" s="62" t="str">
        <f t="shared" si="10"/>
        <v>ME PARECE INJUSTO</v>
      </c>
      <c r="H95" s="62">
        <v>89</v>
      </c>
      <c r="J95" s="4" t="str">
        <f t="shared" ca="1" si="11"/>
        <v>INSERT INTO Rendimiento VALUES ('9','251','6','7','ME PARECE INJUSTO','89');</v>
      </c>
      <c r="P95" t="s">
        <v>941</v>
      </c>
    </row>
    <row r="96" spans="3:16" ht="15" x14ac:dyDescent="0.25">
      <c r="C96" s="16">
        <f t="shared" ca="1" si="7"/>
        <v>2</v>
      </c>
      <c r="D96" s="16">
        <f t="shared" ca="1" si="8"/>
        <v>186</v>
      </c>
      <c r="E96" s="16">
        <f t="shared" ca="1" si="9"/>
        <v>13</v>
      </c>
      <c r="F96" s="16">
        <f t="shared" ca="1" si="12"/>
        <v>2</v>
      </c>
      <c r="G96" s="62" t="str">
        <f t="shared" si="10"/>
        <v>ME PARECE MAL</v>
      </c>
      <c r="H96" s="62">
        <v>90</v>
      </c>
      <c r="J96" s="4" t="str">
        <f t="shared" ca="1" si="11"/>
        <v>INSERT INTO Rendimiento VALUES ('2','186','13','2','ME PARECE MAL','90');</v>
      </c>
      <c r="P96" t="s">
        <v>942</v>
      </c>
    </row>
    <row r="97" spans="3:16" ht="15" x14ac:dyDescent="0.25">
      <c r="C97" s="16">
        <f t="shared" ca="1" si="7"/>
        <v>7</v>
      </c>
      <c r="D97" s="16">
        <f t="shared" ca="1" si="8"/>
        <v>216</v>
      </c>
      <c r="E97" s="16">
        <f t="shared" ca="1" si="9"/>
        <v>8</v>
      </c>
      <c r="F97" s="16">
        <f t="shared" ca="1" si="12"/>
        <v>2</v>
      </c>
      <c r="G97" s="62" t="str">
        <f t="shared" si="10"/>
        <v>ME PARECE INJUSTO</v>
      </c>
      <c r="H97" s="62">
        <v>91</v>
      </c>
      <c r="J97" s="4" t="str">
        <f t="shared" ca="1" si="11"/>
        <v>INSERT INTO Rendimiento VALUES ('7','216','8','2','ME PARECE INJUSTO','91');</v>
      </c>
      <c r="P97" t="s">
        <v>943</v>
      </c>
    </row>
    <row r="98" spans="3:16" ht="15" x14ac:dyDescent="0.25">
      <c r="C98" s="16">
        <f t="shared" ca="1" si="7"/>
        <v>10</v>
      </c>
      <c r="D98" s="16">
        <f t="shared" ca="1" si="8"/>
        <v>233</v>
      </c>
      <c r="E98" s="16">
        <f t="shared" ca="1" si="9"/>
        <v>20</v>
      </c>
      <c r="F98" s="16">
        <f t="shared" ca="1" si="12"/>
        <v>8</v>
      </c>
      <c r="G98" s="62" t="str">
        <f t="shared" si="10"/>
        <v>NO OPINO</v>
      </c>
      <c r="H98" s="62">
        <v>92</v>
      </c>
      <c r="J98" s="4" t="str">
        <f t="shared" ca="1" si="11"/>
        <v>INSERT INTO Rendimiento VALUES ('10','233','20','8','NO OPINO','92');</v>
      </c>
      <c r="P98" t="s">
        <v>944</v>
      </c>
    </row>
    <row r="99" spans="3:16" ht="15" x14ac:dyDescent="0.25">
      <c r="C99" s="16">
        <f t="shared" ca="1" si="7"/>
        <v>1</v>
      </c>
      <c r="D99" s="16">
        <f t="shared" ca="1" si="8"/>
        <v>212</v>
      </c>
      <c r="E99" s="16">
        <f t="shared" ca="1" si="9"/>
        <v>18</v>
      </c>
      <c r="F99" s="16">
        <f t="shared" ca="1" si="12"/>
        <v>1</v>
      </c>
      <c r="G99" s="62" t="str">
        <f t="shared" si="10"/>
        <v>ME PARECE BIEN</v>
      </c>
      <c r="H99" s="62">
        <v>93</v>
      </c>
      <c r="J99" s="4" t="str">
        <f t="shared" ca="1" si="11"/>
        <v>INSERT INTO Rendimiento VALUES ('1','212','18','1','ME PARECE BIEN','93');</v>
      </c>
      <c r="P99" t="s">
        <v>945</v>
      </c>
    </row>
    <row r="100" spans="3:16" ht="15" x14ac:dyDescent="0.25">
      <c r="C100" s="16">
        <f t="shared" ca="1" si="7"/>
        <v>2</v>
      </c>
      <c r="D100" s="16">
        <f t="shared" ca="1" si="8"/>
        <v>231</v>
      </c>
      <c r="E100" s="16">
        <f t="shared" ca="1" si="9"/>
        <v>9</v>
      </c>
      <c r="F100" s="16">
        <f t="shared" ca="1" si="12"/>
        <v>9</v>
      </c>
      <c r="G100" s="62" t="str">
        <f t="shared" si="10"/>
        <v>ME PARECE MAL</v>
      </c>
      <c r="H100" s="62">
        <v>94</v>
      </c>
      <c r="J100" s="4" t="str">
        <f t="shared" ca="1" si="11"/>
        <v>INSERT INTO Rendimiento VALUES ('2','231','9','9','ME PARECE MAL','94');</v>
      </c>
      <c r="P100" t="s">
        <v>946</v>
      </c>
    </row>
    <row r="101" spans="3:16" ht="15" x14ac:dyDescent="0.25">
      <c r="C101" s="16">
        <f t="shared" ca="1" si="7"/>
        <v>5</v>
      </c>
      <c r="D101" s="16">
        <f t="shared" ca="1" si="8"/>
        <v>209</v>
      </c>
      <c r="E101" s="16">
        <f t="shared" ca="1" si="9"/>
        <v>16</v>
      </c>
      <c r="F101" s="16">
        <f t="shared" ca="1" si="12"/>
        <v>9</v>
      </c>
      <c r="G101" s="62" t="str">
        <f t="shared" si="10"/>
        <v>NO OPINO</v>
      </c>
      <c r="H101" s="62">
        <v>95</v>
      </c>
      <c r="J101" s="4" t="str">
        <f t="shared" ca="1" si="11"/>
        <v>INSERT INTO Rendimiento VALUES ('5','209','16','9','NO OPINO','95');</v>
      </c>
      <c r="P101" t="s">
        <v>947</v>
      </c>
    </row>
    <row r="102" spans="3:16" ht="15" x14ac:dyDescent="0.25">
      <c r="C102" s="16">
        <f t="shared" ca="1" si="7"/>
        <v>3</v>
      </c>
      <c r="D102" s="16">
        <f t="shared" ca="1" si="8"/>
        <v>205</v>
      </c>
      <c r="E102" s="16">
        <f t="shared" ca="1" si="9"/>
        <v>18</v>
      </c>
      <c r="F102" s="16">
        <f t="shared" ca="1" si="12"/>
        <v>1</v>
      </c>
      <c r="G102" s="62" t="str">
        <f t="shared" si="10"/>
        <v>ME PARECE INJUSTO</v>
      </c>
      <c r="H102" s="62">
        <v>96</v>
      </c>
      <c r="J102" s="4" t="str">
        <f t="shared" ca="1" si="11"/>
        <v>INSERT INTO Rendimiento VALUES ('3','205','18','1','ME PARECE INJUSTO','96');</v>
      </c>
      <c r="P102" t="s">
        <v>948</v>
      </c>
    </row>
    <row r="103" spans="3:16" ht="15" x14ac:dyDescent="0.25">
      <c r="C103" s="16">
        <f t="shared" ca="1" si="7"/>
        <v>10</v>
      </c>
      <c r="D103" s="16">
        <f t="shared" ca="1" si="8"/>
        <v>217</v>
      </c>
      <c r="E103" s="16">
        <f t="shared" ca="1" si="9"/>
        <v>20</v>
      </c>
      <c r="F103" s="16">
        <f t="shared" ca="1" si="12"/>
        <v>7</v>
      </c>
      <c r="G103" s="62" t="str">
        <f t="shared" si="10"/>
        <v>ME PARECE BIEN</v>
      </c>
      <c r="H103" s="62">
        <v>97</v>
      </c>
      <c r="J103" s="4" t="str">
        <f t="shared" ca="1" si="11"/>
        <v>INSERT INTO Rendimiento VALUES ('10','217','20','7','ME PARECE BIEN','97');</v>
      </c>
      <c r="P103" t="s">
        <v>949</v>
      </c>
    </row>
    <row r="104" spans="3:16" ht="15" x14ac:dyDescent="0.25">
      <c r="C104" s="16">
        <f t="shared" ca="1" si="7"/>
        <v>5</v>
      </c>
      <c r="D104" s="16">
        <f t="shared" ca="1" si="8"/>
        <v>228</v>
      </c>
      <c r="E104" s="16">
        <f t="shared" ca="1" si="9"/>
        <v>12</v>
      </c>
      <c r="F104" s="16">
        <f t="shared" ca="1" si="12"/>
        <v>3</v>
      </c>
      <c r="G104" s="62" t="str">
        <f t="shared" si="10"/>
        <v>NO OPINO</v>
      </c>
      <c r="H104" s="62">
        <v>98</v>
      </c>
      <c r="J104" s="4" t="str">
        <f t="shared" ca="1" si="11"/>
        <v>INSERT INTO Rendimiento VALUES ('5','228','12','3','NO OPINO','98');</v>
      </c>
      <c r="P104" t="s">
        <v>950</v>
      </c>
    </row>
    <row r="105" spans="3:16" ht="15" x14ac:dyDescent="0.25">
      <c r="C105" s="16">
        <f t="shared" ca="1" si="7"/>
        <v>10</v>
      </c>
      <c r="D105" s="16">
        <f t="shared" ca="1" si="8"/>
        <v>204</v>
      </c>
      <c r="E105" s="16">
        <f t="shared" ca="1" si="9"/>
        <v>16</v>
      </c>
      <c r="F105" s="16">
        <f t="shared" ca="1" si="12"/>
        <v>6</v>
      </c>
      <c r="G105" s="62" t="str">
        <f t="shared" si="10"/>
        <v>ME PARECE MAL</v>
      </c>
      <c r="H105" s="62">
        <v>99</v>
      </c>
      <c r="J105" s="4" t="str">
        <f t="shared" ca="1" si="11"/>
        <v>INSERT INTO Rendimiento VALUES ('10','204','16','6','ME PARECE MAL','99');</v>
      </c>
      <c r="P105" t="s">
        <v>951</v>
      </c>
    </row>
    <row r="106" spans="3:16" ht="15" x14ac:dyDescent="0.25">
      <c r="C106" s="16">
        <f t="shared" ca="1" si="7"/>
        <v>7</v>
      </c>
      <c r="D106" s="16">
        <f t="shared" ca="1" si="8"/>
        <v>183</v>
      </c>
      <c r="E106" s="16">
        <f t="shared" ca="1" si="9"/>
        <v>15</v>
      </c>
      <c r="F106" s="16">
        <f t="shared" ca="1" si="12"/>
        <v>0</v>
      </c>
      <c r="G106" s="62" t="str">
        <f t="shared" si="10"/>
        <v>NO OPINO</v>
      </c>
      <c r="H106" s="62">
        <v>100</v>
      </c>
      <c r="J106" s="4" t="str">
        <f t="shared" ca="1" si="11"/>
        <v>INSERT INTO Rendimiento VALUES ('7','183','15','0','NO OPINO','100');</v>
      </c>
      <c r="P106" t="s">
        <v>952</v>
      </c>
    </row>
    <row r="107" spans="3:16" ht="15" x14ac:dyDescent="0.25">
      <c r="C107" s="16"/>
      <c r="D107" s="16"/>
      <c r="E107" s="16"/>
      <c r="F107" s="16"/>
      <c r="G107" s="62"/>
      <c r="H107" s="62"/>
      <c r="J107" s="4"/>
    </row>
    <row r="108" spans="3:16" ht="15" x14ac:dyDescent="0.25">
      <c r="C108" s="16"/>
      <c r="D108" s="16"/>
      <c r="E108" s="16"/>
      <c r="F108" s="16"/>
      <c r="G108" s="62"/>
      <c r="H108" s="62"/>
      <c r="J108" s="4"/>
    </row>
    <row r="109" spans="3:16" ht="15" x14ac:dyDescent="0.25">
      <c r="C109" s="16"/>
      <c r="D109" s="16"/>
      <c r="E109" s="16"/>
      <c r="F109" s="16"/>
      <c r="G109" s="62"/>
      <c r="H109" s="62"/>
      <c r="J109" s="4"/>
    </row>
    <row r="110" spans="3:16" ht="15" x14ac:dyDescent="0.25">
      <c r="C110" s="16"/>
      <c r="D110" s="16"/>
      <c r="E110" s="16"/>
      <c r="F110" s="16"/>
      <c r="G110" s="62"/>
      <c r="H110" s="62"/>
      <c r="J110" s="4"/>
    </row>
    <row r="111" spans="3:16" ht="15" x14ac:dyDescent="0.25">
      <c r="C111" s="16"/>
      <c r="D111" s="16"/>
      <c r="E111" s="16"/>
      <c r="F111" s="16"/>
      <c r="G111" s="62"/>
      <c r="H111" s="62"/>
      <c r="J111" s="4"/>
    </row>
  </sheetData>
  <mergeCells count="1">
    <mergeCell ref="C5:H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C00000"/>
  </sheetPr>
  <dimension ref="B2:AH1000"/>
  <sheetViews>
    <sheetView topLeftCell="I75" zoomScale="145" zoomScaleNormal="145" workbookViewId="0">
      <selection activeCell="O4" sqref="O4:O91"/>
    </sheetView>
  </sheetViews>
  <sheetFormatPr baseColWidth="10" defaultColWidth="12.625" defaultRowHeight="15" customHeight="1" x14ac:dyDescent="0.2"/>
  <cols>
    <col min="1" max="1" width="30.25" customWidth="1"/>
    <col min="2" max="2" width="6.875" customWidth="1"/>
    <col min="3" max="3" width="9.625" customWidth="1"/>
    <col min="4" max="4" width="10.75" customWidth="1"/>
    <col min="5" max="5" width="29.25" customWidth="1"/>
    <col min="6" max="6" width="8.75" customWidth="1"/>
    <col min="7" max="7" width="10.5" customWidth="1"/>
    <col min="8" max="8" width="10.75" customWidth="1"/>
    <col min="9" max="9" width="8.75" customWidth="1"/>
    <col min="10" max="10" width="8.875" customWidth="1"/>
    <col min="11" max="11" width="4.625" bestFit="1" customWidth="1"/>
    <col min="12" max="12" width="6.75" bestFit="1" customWidth="1"/>
    <col min="13" max="13" width="6.75" customWidth="1"/>
    <col min="14" max="14" width="9.375" customWidth="1"/>
    <col min="15" max="15" width="8.625" customWidth="1"/>
    <col min="16" max="16" width="9.375" customWidth="1"/>
    <col min="17" max="17" width="7.5" customWidth="1"/>
    <col min="18" max="23" width="9.375" customWidth="1"/>
  </cols>
  <sheetData>
    <row r="2" spans="2:34" x14ac:dyDescent="0.25">
      <c r="B2" s="70" t="s">
        <v>682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</row>
    <row r="3" spans="2:34" x14ac:dyDescent="0.25">
      <c r="B3" s="67" t="s">
        <v>680</v>
      </c>
      <c r="C3" s="22" t="s">
        <v>102</v>
      </c>
      <c r="D3" s="22" t="s">
        <v>100</v>
      </c>
      <c r="E3" s="22" t="s">
        <v>99</v>
      </c>
      <c r="F3" s="22" t="s">
        <v>98</v>
      </c>
      <c r="G3" s="22" t="s">
        <v>101</v>
      </c>
      <c r="H3" s="46" t="s">
        <v>472</v>
      </c>
      <c r="I3" s="46" t="s">
        <v>473</v>
      </c>
      <c r="J3" s="48" t="s">
        <v>474</v>
      </c>
      <c r="K3" s="48" t="s">
        <v>475</v>
      </c>
      <c r="L3" s="68" t="s">
        <v>681</v>
      </c>
      <c r="M3" s="48" t="s">
        <v>476</v>
      </c>
    </row>
    <row r="4" spans="2:34" x14ac:dyDescent="0.25">
      <c r="B4" s="28" t="s">
        <v>387</v>
      </c>
      <c r="C4" s="23" t="s">
        <v>6</v>
      </c>
      <c r="D4" s="29" t="s">
        <v>68</v>
      </c>
      <c r="E4" s="23">
        <f ca="1">RANDBETWEEN(10000000,99999999)</f>
        <v>91651501</v>
      </c>
      <c r="F4" s="23" t="s">
        <v>103</v>
      </c>
      <c r="G4" s="23">
        <f ca="1">RANDBETWEEN(100000,999999)</f>
        <v>349451</v>
      </c>
      <c r="H4" s="23">
        <f ca="1">RANDBETWEEN(1000,9999)</f>
        <v>2972</v>
      </c>
      <c r="I4" s="47">
        <f ca="1">RANDBETWEEN(1000,9000)</f>
        <v>5578</v>
      </c>
      <c r="J4" s="23">
        <v>1</v>
      </c>
      <c r="K4" s="30">
        <f>RandomSelection(AREA!$D$5:$D$22)</f>
        <v>15</v>
      </c>
      <c r="L4">
        <f>RandomSelection(RENDIMIENTO!$H$7:$H$106)</f>
        <v>59</v>
      </c>
      <c r="M4" s="25">
        <f>RandomSelection(SEDE!$D$5:$D$14)</f>
        <v>8</v>
      </c>
      <c r="O4" s="4" t="str">
        <f ca="1">"INSERT INTO Empleado VALUES ('"&amp;B4&amp;"','"&amp;C4&amp;"','"&amp;D4&amp;"','"&amp;E4&amp;"','"&amp;F4&amp;"','"&amp;G4&amp;"','"&amp;H4&amp;"','"&amp;I4&amp;"','"&amp;J4&amp;"','"&amp;K4&amp;"','"&amp;L4&amp;"','"&amp;M4&amp;"');"</f>
        <v>INSERT INTO Empleado VALUES ('LOYOLA BOHORQUEZ','africa@altecom.es','Av. Gonzalo Ugás N° 29','91651501','KARLA','349451','2972','5578','1','15','59','8');</v>
      </c>
      <c r="AH4" s="20"/>
    </row>
    <row r="5" spans="2:34" x14ac:dyDescent="0.25">
      <c r="B5" s="28" t="s">
        <v>388</v>
      </c>
      <c r="C5" s="23" t="s">
        <v>9</v>
      </c>
      <c r="D5" s="29" t="s">
        <v>69</v>
      </c>
      <c r="E5" s="23">
        <f t="shared" ref="E5:E68" ca="1" si="0">RANDBETWEEN(10000000,99999999)</f>
        <v>94229330</v>
      </c>
      <c r="F5" s="23" t="s">
        <v>104</v>
      </c>
      <c r="G5" s="23">
        <f t="shared" ref="G5:G68" ca="1" si="1">RANDBETWEEN(100000,999999)</f>
        <v>121559</v>
      </c>
      <c r="H5" s="23">
        <f t="shared" ref="H5:H68" ca="1" si="2">RANDBETWEEN(1000,9999)</f>
        <v>5552</v>
      </c>
      <c r="I5" s="47">
        <f t="shared" ref="I5:I68" ca="1" si="3">RANDBETWEEN(1000,9000)</f>
        <v>2708</v>
      </c>
      <c r="J5" s="23">
        <v>2</v>
      </c>
      <c r="K5" s="30">
        <f>RandomSelection(AREA!$D$5:$D$22)</f>
        <v>16</v>
      </c>
      <c r="L5">
        <f>RandomSelection(RENDIMIENTO!$H$7:$H$106)</f>
        <v>22</v>
      </c>
      <c r="M5" s="25">
        <f>RandomSelection(SEDE!$D$5:$D$14)</f>
        <v>1</v>
      </c>
      <c r="O5" s="4" t="str">
        <f t="shared" ref="O5:O68" ca="1" si="4">"INSERT INTO Empleado VALUES ('"&amp;B5&amp;"','"&amp;C5&amp;"','"&amp;D5&amp;"','"&amp;E5&amp;"','"&amp;F5&amp;"','"&amp;G5&amp;"','"&amp;H5&amp;"','"&amp;I5&amp;"','"&amp;J5&amp;"','"&amp;K5&amp;"','"&amp;L5&amp;"','"&amp;M5&amp;"');"</f>
        <v>INSERT INTO Empleado VALUES ('DIAS MUÑOZ','agata@hotmail.com','Lt. 3 Mz. B-1, Urb. Parque Industrial','94229330','JOSE','121559','5552','2708','2','16','22','1');</v>
      </c>
      <c r="AH5" s="20"/>
    </row>
    <row r="6" spans="2:34" x14ac:dyDescent="0.25">
      <c r="B6" s="28" t="s">
        <v>389</v>
      </c>
      <c r="C6" s="23" t="s">
        <v>16</v>
      </c>
      <c r="D6" s="29" t="s">
        <v>70</v>
      </c>
      <c r="E6" s="23">
        <f t="shared" ca="1" si="0"/>
        <v>67368648</v>
      </c>
      <c r="F6" s="23" t="s">
        <v>105</v>
      </c>
      <c r="G6" s="23">
        <f t="shared" ca="1" si="1"/>
        <v>970249</v>
      </c>
      <c r="H6" s="23">
        <f t="shared" ca="1" si="2"/>
        <v>5195</v>
      </c>
      <c r="I6" s="47">
        <f t="shared" ca="1" si="3"/>
        <v>8771</v>
      </c>
      <c r="J6" s="23">
        <v>3</v>
      </c>
      <c r="K6" s="30">
        <f>RandomSelection(AREA!$D$5:$D$22)</f>
        <v>7</v>
      </c>
      <c r="L6">
        <f>RandomSelection(RENDIMIENTO!$H$7:$H$106)</f>
        <v>86</v>
      </c>
      <c r="M6" s="25">
        <f>RandomSelection(SEDE!$D$5:$D$14)</f>
        <v>1</v>
      </c>
      <c r="O6" s="4" t="str">
        <f t="shared" ca="1" si="4"/>
        <v>INSERT INTO Empleado VALUES ('SIFUENTES CABANILLAS','albatros@wandoo.es','Av.Julian Arce Larreta Mz 27 L 27 Victor Raul Haya De La Tor','67368648','LUZ','970249','5195','8771','3','7','86','1');</v>
      </c>
      <c r="AH6" s="20"/>
    </row>
    <row r="7" spans="2:34" x14ac:dyDescent="0.25">
      <c r="B7" s="28" t="s">
        <v>390</v>
      </c>
      <c r="C7" s="24" t="s">
        <v>72</v>
      </c>
      <c r="D7" s="25" t="s">
        <v>71</v>
      </c>
      <c r="E7" s="23">
        <f t="shared" ca="1" si="0"/>
        <v>38835300</v>
      </c>
      <c r="F7" s="23" t="s">
        <v>106</v>
      </c>
      <c r="G7" s="23">
        <f t="shared" ca="1" si="1"/>
        <v>593681</v>
      </c>
      <c r="H7" s="23">
        <f t="shared" ca="1" si="2"/>
        <v>6545</v>
      </c>
      <c r="I7" s="47">
        <f t="shared" ca="1" si="3"/>
        <v>6911</v>
      </c>
      <c r="J7" s="23">
        <v>4</v>
      </c>
      <c r="K7" s="30">
        <f>RandomSelection(AREA!$D$5:$D$22)</f>
        <v>5</v>
      </c>
      <c r="L7">
        <f>RandomSelection(RENDIMIENTO!$H$7:$H$106)</f>
        <v>66</v>
      </c>
      <c r="M7" s="25">
        <f>RandomSelection(SEDE!$D$5:$D$14)</f>
        <v>5</v>
      </c>
      <c r="O7" s="4" t="str">
        <f t="shared" ca="1" si="4"/>
        <v>INSERT INTO Empleado VALUES ('FIGUEROA JIMENEZ','maeillanes@hotmail.com','Av.San Pablo 123','38835300','LAYEVSKA','593681','6545','6911','4','5','66','5');</v>
      </c>
      <c r="AH7" s="20"/>
    </row>
    <row r="8" spans="2:34" x14ac:dyDescent="0.25">
      <c r="B8" s="28" t="s">
        <v>391</v>
      </c>
      <c r="C8" s="25" t="s">
        <v>72</v>
      </c>
      <c r="D8" s="25" t="s">
        <v>73</v>
      </c>
      <c r="E8" s="23">
        <f t="shared" ca="1" si="0"/>
        <v>74106704</v>
      </c>
      <c r="F8" s="23" t="s">
        <v>107</v>
      </c>
      <c r="G8" s="23">
        <f t="shared" ca="1" si="1"/>
        <v>837124</v>
      </c>
      <c r="H8" s="23">
        <f t="shared" ca="1" si="2"/>
        <v>2278</v>
      </c>
      <c r="I8" s="47">
        <f t="shared" ca="1" si="3"/>
        <v>3894</v>
      </c>
      <c r="J8" s="23">
        <v>5</v>
      </c>
      <c r="K8" s="30">
        <f>RandomSelection(AREA!$D$5:$D$22)</f>
        <v>1</v>
      </c>
      <c r="L8">
        <f>RandomSelection(RENDIMIENTO!$H$7:$H$106)</f>
        <v>89</v>
      </c>
      <c r="M8" s="25">
        <f>RandomSelection(SEDE!$D$5:$D$14)</f>
        <v>3</v>
      </c>
      <c r="O8" s="4" t="str">
        <f t="shared" ca="1" si="4"/>
        <v>INSERT INTO Empleado VALUES ('DIAZ DIAZ','maeillanes@hotmail.com','Urb San Jose de California','74106704','JOYZI','837124','2278','3894','5','1','89','3');</v>
      </c>
      <c r="AH8" s="20"/>
    </row>
    <row r="9" spans="2:34" x14ac:dyDescent="0.25">
      <c r="B9" s="28" t="s">
        <v>392</v>
      </c>
      <c r="C9" s="25" t="s">
        <v>75</v>
      </c>
      <c r="D9" s="25" t="s">
        <v>74</v>
      </c>
      <c r="E9" s="23">
        <f t="shared" ca="1" si="0"/>
        <v>18801978</v>
      </c>
      <c r="F9" s="23" t="s">
        <v>108</v>
      </c>
      <c r="G9" s="23">
        <f t="shared" ca="1" si="1"/>
        <v>521703</v>
      </c>
      <c r="H9" s="23">
        <f t="shared" ca="1" si="2"/>
        <v>9051</v>
      </c>
      <c r="I9" s="47">
        <f t="shared" ca="1" si="3"/>
        <v>1854</v>
      </c>
      <c r="J9" s="23">
        <v>6</v>
      </c>
      <c r="K9" s="30">
        <f>RandomSelection(AREA!$D$5:$D$22)</f>
        <v>15</v>
      </c>
      <c r="L9">
        <f>RandomSelection(RENDIMIENTO!$H$7:$H$106)</f>
        <v>1</v>
      </c>
      <c r="M9" s="25">
        <f>RandomSelection(SEDE!$D$5:$D$14)</f>
        <v>5</v>
      </c>
      <c r="O9" s="4" t="str">
        <f t="shared" ca="1" si="4"/>
        <v>INSERT INTO Empleado VALUES ('RODRIGUEZ MEDINA','osabarca@hotmail.com','Av Mansiche 345','18801978','GABRIELA','521703','9051','1854','6','15','1','5');</v>
      </c>
      <c r="AH9" s="20"/>
    </row>
    <row r="10" spans="2:34" x14ac:dyDescent="0.25">
      <c r="B10" s="28" t="s">
        <v>393</v>
      </c>
      <c r="C10" s="26" t="s">
        <v>118</v>
      </c>
      <c r="D10" s="25" t="s">
        <v>76</v>
      </c>
      <c r="E10" s="23">
        <f t="shared" ca="1" si="0"/>
        <v>15874791</v>
      </c>
      <c r="F10" s="23" t="s">
        <v>117</v>
      </c>
      <c r="G10" s="23">
        <f t="shared" ca="1" si="1"/>
        <v>129000</v>
      </c>
      <c r="H10" s="23">
        <f t="shared" ca="1" si="2"/>
        <v>1262</v>
      </c>
      <c r="I10" s="47">
        <f t="shared" ca="1" si="3"/>
        <v>5460</v>
      </c>
      <c r="J10" s="23">
        <v>7</v>
      </c>
      <c r="K10" s="30">
        <f>RandomSelection(AREA!$D$5:$D$22)</f>
        <v>13</v>
      </c>
      <c r="L10">
        <f>RandomSelection(RENDIMIENTO!$H$7:$H$106)</f>
        <v>35</v>
      </c>
      <c r="M10" s="25">
        <f>RandomSelection(SEDE!$D$5:$D$14)</f>
        <v>6</v>
      </c>
      <c r="O10" s="4" t="str">
        <f t="shared" ca="1" si="4"/>
        <v>INSERT INTO Empleado VALUES ('SERNAQUE SILVA','jhonatan@corporation.ven','Av. Larco 1770, Trujillo 13001','15874791','JHONATAN','129000','1262','5460','7','13','35','6');</v>
      </c>
      <c r="AH10" s="20"/>
    </row>
    <row r="11" spans="2:34" x14ac:dyDescent="0.25">
      <c r="B11" s="28" t="s">
        <v>394</v>
      </c>
      <c r="C11" s="24" t="s">
        <v>78</v>
      </c>
      <c r="D11" s="25" t="s">
        <v>77</v>
      </c>
      <c r="E11" s="23">
        <f t="shared" ca="1" si="0"/>
        <v>99857674</v>
      </c>
      <c r="F11" s="23" t="s">
        <v>109</v>
      </c>
      <c r="G11" s="23">
        <f t="shared" ca="1" si="1"/>
        <v>447814</v>
      </c>
      <c r="H11" s="23">
        <f t="shared" ca="1" si="2"/>
        <v>4259</v>
      </c>
      <c r="I11" s="47">
        <f t="shared" ca="1" si="3"/>
        <v>3661</v>
      </c>
      <c r="J11" s="23">
        <v>8</v>
      </c>
      <c r="K11" s="30">
        <f>RandomSelection(AREA!$D$5:$D$22)</f>
        <v>4</v>
      </c>
      <c r="L11">
        <f>RandomSelection(RENDIMIENTO!$H$7:$H$106)</f>
        <v>22</v>
      </c>
      <c r="M11" s="25">
        <f>RandomSelection(SEDE!$D$5:$D$14)</f>
        <v>2</v>
      </c>
      <c r="O11" s="4" t="str">
        <f t="shared" ca="1" si="4"/>
        <v>INSERT INTO Empleado VALUES ('MORALES GONZALES','Sb.nashxo.sk8@hotmail.com','Urb El Bosque 947','99857674','LUIS','447814','4259','3661','8','4','22','2');</v>
      </c>
      <c r="AH11" s="20"/>
    </row>
    <row r="12" spans="2:34" x14ac:dyDescent="0.25">
      <c r="B12" s="28" t="s">
        <v>395</v>
      </c>
      <c r="C12" s="25" t="s">
        <v>80</v>
      </c>
      <c r="D12" s="25" t="s">
        <v>79</v>
      </c>
      <c r="E12" s="23">
        <f t="shared" ca="1" si="0"/>
        <v>83114271</v>
      </c>
      <c r="F12" s="23" t="s">
        <v>110</v>
      </c>
      <c r="G12" s="23">
        <f t="shared" ca="1" si="1"/>
        <v>893145</v>
      </c>
      <c r="H12" s="23">
        <f t="shared" ca="1" si="2"/>
        <v>4669</v>
      </c>
      <c r="I12" s="47">
        <f t="shared" ca="1" si="3"/>
        <v>8737</v>
      </c>
      <c r="J12" s="23">
        <v>9</v>
      </c>
      <c r="K12" s="30">
        <f>RandomSelection(AREA!$D$5:$D$22)</f>
        <v>5</v>
      </c>
      <c r="L12">
        <f>RandomSelection(RENDIMIENTO!$H$7:$H$106)</f>
        <v>70</v>
      </c>
      <c r="M12" s="25">
        <f>RandomSelection(SEDE!$D$5:$D$14)</f>
        <v>7</v>
      </c>
      <c r="O12" s="4" t="str">
        <f t="shared" ca="1" si="4"/>
        <v>INSERT INTO Empleado VALUES ('ALCANTARA PEREZ','fran.afull@live.cl','Urb La Noria 126','83114271','GABRIEL','893145','4669','8737','9','5','70','7');</v>
      </c>
      <c r="AH12" s="20"/>
    </row>
    <row r="13" spans="2:34" x14ac:dyDescent="0.25">
      <c r="B13" s="28" t="s">
        <v>396</v>
      </c>
      <c r="C13" s="25" t="s">
        <v>82</v>
      </c>
      <c r="D13" s="25" t="s">
        <v>81</v>
      </c>
      <c r="E13" s="23">
        <f t="shared" ca="1" si="0"/>
        <v>92977870</v>
      </c>
      <c r="F13" s="23" t="s">
        <v>111</v>
      </c>
      <c r="G13" s="23">
        <f t="shared" ca="1" si="1"/>
        <v>983680</v>
      </c>
      <c r="H13" s="23">
        <f t="shared" ca="1" si="2"/>
        <v>2205</v>
      </c>
      <c r="I13" s="47">
        <f t="shared" ca="1" si="3"/>
        <v>6270</v>
      </c>
      <c r="J13" s="23">
        <v>10</v>
      </c>
      <c r="K13" s="30">
        <f>RandomSelection(AREA!$D$5:$D$22)</f>
        <v>18</v>
      </c>
      <c r="L13">
        <f>RandomSelection(RENDIMIENTO!$H$7:$H$106)</f>
        <v>62</v>
      </c>
      <c r="M13" s="25">
        <f>RandomSelection(SEDE!$D$5:$D$14)</f>
        <v>1</v>
      </c>
      <c r="O13" s="4" t="str">
        <f t="shared" ca="1" si="4"/>
        <v>INSERT INTO Empleado VALUES ('MERINO GUTIERRES','carlosaguileram@hotmail.com','Psj Monaco 187','92977870','NICOLAS','983680','2205','6270','10','18','62','1');</v>
      </c>
      <c r="AH13" s="20"/>
    </row>
    <row r="14" spans="2:34" x14ac:dyDescent="0.25">
      <c r="B14" s="28" t="s">
        <v>397</v>
      </c>
      <c r="C14" s="25" t="s">
        <v>84</v>
      </c>
      <c r="D14" s="25" t="s">
        <v>83</v>
      </c>
      <c r="E14" s="23">
        <f t="shared" ca="1" si="0"/>
        <v>95876476</v>
      </c>
      <c r="F14" s="23" t="s">
        <v>116</v>
      </c>
      <c r="G14" s="23">
        <f t="shared" ca="1" si="1"/>
        <v>483917</v>
      </c>
      <c r="H14" s="23">
        <f t="shared" ca="1" si="2"/>
        <v>8876</v>
      </c>
      <c r="I14" s="47">
        <f t="shared" ca="1" si="3"/>
        <v>4830</v>
      </c>
      <c r="J14" s="23">
        <v>11</v>
      </c>
      <c r="K14" s="30">
        <f>RandomSelection(AREA!$D$5:$D$22)</f>
        <v>15</v>
      </c>
      <c r="L14">
        <f>RandomSelection(RENDIMIENTO!$H$7:$H$106)</f>
        <v>35</v>
      </c>
      <c r="M14" s="25">
        <f>RandomSelection(SEDE!$D$5:$D$14)</f>
        <v>8</v>
      </c>
      <c r="O14" s="4" t="str">
        <f t="shared" ca="1" si="4"/>
        <v>INSERT INTO Empleado VALUES ('CABALLERO DIAS','ikis_rojo@hotmail.com','A1 lote 01,, Sta. Teresa de Jesús, Distrito de Víctor Larco Herrera','95876476','EMILIA','483917','8876','4830','11','15','35','8');</v>
      </c>
      <c r="AH14" s="20"/>
    </row>
    <row r="15" spans="2:34" x14ac:dyDescent="0.25">
      <c r="B15" s="28" t="s">
        <v>398</v>
      </c>
      <c r="C15" s="25" t="s">
        <v>86</v>
      </c>
      <c r="D15" s="25" t="s">
        <v>85</v>
      </c>
      <c r="E15" s="23">
        <f t="shared" ca="1" si="0"/>
        <v>34440325</v>
      </c>
      <c r="F15" s="23" t="s">
        <v>112</v>
      </c>
      <c r="G15" s="23">
        <f t="shared" ca="1" si="1"/>
        <v>894441</v>
      </c>
      <c r="H15" s="23">
        <f t="shared" ca="1" si="2"/>
        <v>7290</v>
      </c>
      <c r="I15" s="47">
        <f t="shared" ca="1" si="3"/>
        <v>4337</v>
      </c>
      <c r="J15" s="23">
        <v>12</v>
      </c>
      <c r="K15" s="30">
        <f>RandomSelection(AREA!$D$5:$D$22)</f>
        <v>8</v>
      </c>
      <c r="L15">
        <f>RandomSelection(RENDIMIENTO!$H$7:$H$106)</f>
        <v>26</v>
      </c>
      <c r="M15" s="25">
        <f>RandomSelection(SEDE!$D$5:$D$14)</f>
        <v>5</v>
      </c>
      <c r="O15" s="4" t="str">
        <f t="shared" ca="1" si="4"/>
        <v>INSERT INTO Empleado VALUES ('PINEDA RISCO','vizkala@hotmail.com','Av. Juan Pablo II, Trujillo 13011','34440325','SEBASTIAN','894441','7290','4337','12','8','26','5');</v>
      </c>
      <c r="AH15" s="20"/>
    </row>
    <row r="16" spans="2:34" x14ac:dyDescent="0.25">
      <c r="B16" s="28" t="s">
        <v>399</v>
      </c>
      <c r="C16" s="24" t="s">
        <v>88</v>
      </c>
      <c r="D16" s="25" t="s">
        <v>87</v>
      </c>
      <c r="E16" s="23">
        <f t="shared" ca="1" si="0"/>
        <v>58993269</v>
      </c>
      <c r="F16" s="23" t="s">
        <v>113</v>
      </c>
      <c r="G16" s="23">
        <f t="shared" ca="1" si="1"/>
        <v>390462</v>
      </c>
      <c r="H16" s="23">
        <f t="shared" ca="1" si="2"/>
        <v>7983</v>
      </c>
      <c r="I16" s="47">
        <f t="shared" ca="1" si="3"/>
        <v>3929</v>
      </c>
      <c r="J16" s="23">
        <v>13</v>
      </c>
      <c r="K16" s="30">
        <f>RandomSelection(AREA!$D$5:$D$22)</f>
        <v>18</v>
      </c>
      <c r="L16">
        <f>RandomSelection(RENDIMIENTO!$H$7:$H$106)</f>
        <v>33</v>
      </c>
      <c r="M16" s="25">
        <f>RandomSelection(SEDE!$D$5:$D$14)</f>
        <v>7</v>
      </c>
      <c r="O16" s="4" t="str">
        <f t="shared" ca="1" si="4"/>
        <v>INSERT INTO Empleado VALUES ('CRUZ LAZARO','alexus3@hotmail.com','1N, Distrito de Víctor Larco Herrera 13009, Trujillo 13001','58993269','ANDREA','390462','7983','3929','13','18','33','7');</v>
      </c>
      <c r="AH16" s="20"/>
    </row>
    <row r="17" spans="2:34" x14ac:dyDescent="0.25">
      <c r="B17" s="28" t="s">
        <v>400</v>
      </c>
      <c r="C17" s="25" t="s">
        <v>90</v>
      </c>
      <c r="D17" s="25" t="s">
        <v>89</v>
      </c>
      <c r="E17" s="23">
        <f t="shared" ca="1" si="0"/>
        <v>28958853</v>
      </c>
      <c r="F17" s="23" t="s">
        <v>114</v>
      </c>
      <c r="G17" s="23">
        <f t="shared" ca="1" si="1"/>
        <v>494927</v>
      </c>
      <c r="H17" s="23">
        <f t="shared" ca="1" si="2"/>
        <v>4937</v>
      </c>
      <c r="I17" s="47">
        <f t="shared" ca="1" si="3"/>
        <v>2731</v>
      </c>
      <c r="J17" s="23">
        <v>14</v>
      </c>
      <c r="K17" s="30">
        <f>RandomSelection(AREA!$D$5:$D$22)</f>
        <v>1</v>
      </c>
      <c r="L17">
        <f>RandomSelection(RENDIMIENTO!$H$7:$H$106)</f>
        <v>80</v>
      </c>
      <c r="M17" s="25">
        <f>RandomSelection(SEDE!$D$5:$D$14)</f>
        <v>3</v>
      </c>
      <c r="O17" s="4" t="str">
        <f t="shared" ca="1" si="4"/>
        <v>INSERT INTO Empleado VALUES ('GAVIDIA RISCO','capitanaguilera@hotmail.com','Las Capullanas 273, Distrito de Víctor Larco Herrera 13009','28958853','DANIELA','494927','4937','2731','14','1','80','3');</v>
      </c>
      <c r="AH17" s="20"/>
    </row>
    <row r="18" spans="2:34" x14ac:dyDescent="0.25">
      <c r="B18" s="28" t="s">
        <v>401</v>
      </c>
      <c r="C18" s="24" t="s">
        <v>92</v>
      </c>
      <c r="D18" s="25" t="s">
        <v>91</v>
      </c>
      <c r="E18" s="23">
        <f t="shared" ca="1" si="0"/>
        <v>47516476</v>
      </c>
      <c r="F18" s="23" t="s">
        <v>115</v>
      </c>
      <c r="G18" s="23">
        <f t="shared" ca="1" si="1"/>
        <v>457695</v>
      </c>
      <c r="H18" s="23">
        <f t="shared" ca="1" si="2"/>
        <v>5007</v>
      </c>
      <c r="I18" s="47">
        <f t="shared" ca="1" si="3"/>
        <v>5722</v>
      </c>
      <c r="J18" s="23">
        <v>15</v>
      </c>
      <c r="K18" s="30">
        <f>RandomSelection(AREA!$D$5:$D$22)</f>
        <v>5</v>
      </c>
      <c r="L18">
        <f>RandomSelection(RENDIMIENTO!$H$7:$H$106)</f>
        <v>88</v>
      </c>
      <c r="M18" s="25">
        <f>RandomSelection(SEDE!$D$5:$D$14)</f>
        <v>10</v>
      </c>
      <c r="O18" s="4" t="str">
        <f t="shared" ca="1" si="4"/>
        <v>INSERT INTO Empleado VALUES ('RIOS GARCIA','apalamosg@hotmail.com','Av. Primavera 43, Distrito de Víctor Larco Herrera 13008','47516476','MATIAS','457695','5007','5722','15','5','88','10');</v>
      </c>
      <c r="AH18" s="20"/>
    </row>
    <row r="19" spans="2:34" ht="15" customHeight="1" x14ac:dyDescent="0.25">
      <c r="B19" s="28" t="s">
        <v>402</v>
      </c>
      <c r="C19" s="32" t="s">
        <v>198</v>
      </c>
      <c r="D19" s="31" t="s">
        <v>258</v>
      </c>
      <c r="E19" s="23">
        <f t="shared" ca="1" si="0"/>
        <v>30545774</v>
      </c>
      <c r="F19" s="32" t="s">
        <v>125</v>
      </c>
      <c r="G19" s="23">
        <f t="shared" ca="1" si="1"/>
        <v>613837</v>
      </c>
      <c r="H19" s="23">
        <f t="shared" ca="1" si="2"/>
        <v>5703</v>
      </c>
      <c r="I19" s="47">
        <f t="shared" ca="1" si="3"/>
        <v>7372</v>
      </c>
      <c r="J19" s="23">
        <v>16</v>
      </c>
      <c r="K19" s="30">
        <f>RandomSelection(AREA!$D$5:$D$22)</f>
        <v>5</v>
      </c>
      <c r="L19">
        <f>RandomSelection(RENDIMIENTO!$H$7:$H$106)</f>
        <v>89</v>
      </c>
      <c r="M19" s="25">
        <f>RandomSelection(SEDE!$D$5:$D$14)</f>
        <v>5</v>
      </c>
      <c r="O19" s="4" t="str">
        <f t="shared" ca="1" si="4"/>
        <v>INSERT INTO Empleado VALUES ('AVILA MASJUAN','cangur@intercom.es','SECTOR 8 GRUPO 1 MZ. C LT. 12','30545774','Fuego','613837','5703','7372','16','5','89','5');</v>
      </c>
      <c r="AH19" s="20"/>
    </row>
    <row r="20" spans="2:34" ht="15" customHeight="1" x14ac:dyDescent="0.25">
      <c r="B20" s="28" t="s">
        <v>403</v>
      </c>
      <c r="C20" s="32" t="s">
        <v>199</v>
      </c>
      <c r="D20" s="31" t="s">
        <v>259</v>
      </c>
      <c r="E20" s="23">
        <f t="shared" ca="1" si="0"/>
        <v>14344643</v>
      </c>
      <c r="F20" s="32" t="s">
        <v>126</v>
      </c>
      <c r="G20" s="23">
        <f t="shared" ca="1" si="1"/>
        <v>511566</v>
      </c>
      <c r="H20" s="23">
        <f t="shared" ca="1" si="2"/>
        <v>1363</v>
      </c>
      <c r="I20" s="47">
        <f t="shared" ca="1" si="3"/>
        <v>8741</v>
      </c>
      <c r="J20" s="23">
        <v>17</v>
      </c>
      <c r="K20" s="30">
        <f>RandomSelection(AREA!$D$5:$D$22)</f>
        <v>14</v>
      </c>
      <c r="L20">
        <f>RandomSelection(RENDIMIENTO!$H$7:$H$106)</f>
        <v>73</v>
      </c>
      <c r="M20" s="25">
        <f>RandomSelection(SEDE!$D$5:$D$14)</f>
        <v>2</v>
      </c>
      <c r="O20" s="4" t="str">
        <f t="shared" ca="1" si="4"/>
        <v>INSERT INTO Empleado VALUES ('PARRAMON FLORES','caparranas@altecom.es','CALLE LUIS GALVANI 234 URB. IND. SANTA ROSA','14344643','Galgo','511566','1363','8741','17','14','73','2');</v>
      </c>
      <c r="AH20" s="20"/>
    </row>
    <row r="21" spans="2:34" ht="15.75" customHeight="1" x14ac:dyDescent="0.25">
      <c r="B21" s="28" t="s">
        <v>404</v>
      </c>
      <c r="C21" s="32" t="s">
        <v>200</v>
      </c>
      <c r="D21" s="31" t="s">
        <v>260</v>
      </c>
      <c r="E21" s="23">
        <f t="shared" ca="1" si="0"/>
        <v>57723219</v>
      </c>
      <c r="F21" s="32" t="s">
        <v>127</v>
      </c>
      <c r="G21" s="23">
        <f t="shared" ca="1" si="1"/>
        <v>158073</v>
      </c>
      <c r="H21" s="23">
        <f t="shared" ca="1" si="2"/>
        <v>6806</v>
      </c>
      <c r="I21" s="47">
        <f t="shared" ca="1" si="3"/>
        <v>5265</v>
      </c>
      <c r="J21" s="23">
        <v>18</v>
      </c>
      <c r="K21" s="30">
        <f>RandomSelection(AREA!$D$5:$D$22)</f>
        <v>3</v>
      </c>
      <c r="L21">
        <f>RandomSelection(RENDIMIENTO!$H$7:$H$106)</f>
        <v>81</v>
      </c>
      <c r="M21" s="25">
        <f>RandomSelection(SEDE!$D$5:$D$14)</f>
        <v>10</v>
      </c>
      <c r="O21" s="4" t="str">
        <f t="shared" ca="1" si="4"/>
        <v>INSERT INTO Empleado VALUES ('AGUILAR RAMOS','carretero@intercom.es','CALLE JOSE CARLOS MARIATEGUI MZA. G LOTE. 21 URB. URB. AEROPUERTO 2DO SECT','57723219','Garota','158073','6806','5265','18','3','81','10');</v>
      </c>
      <c r="AH21" s="20"/>
    </row>
    <row r="22" spans="2:34" ht="15.75" customHeight="1" x14ac:dyDescent="0.25">
      <c r="B22" s="28" t="s">
        <v>405</v>
      </c>
      <c r="C22" s="32" t="s">
        <v>56</v>
      </c>
      <c r="D22" s="31" t="s">
        <v>261</v>
      </c>
      <c r="E22" s="23">
        <f t="shared" ca="1" si="0"/>
        <v>32941051</v>
      </c>
      <c r="F22" s="32" t="s">
        <v>128</v>
      </c>
      <c r="G22" s="23">
        <f t="shared" ca="1" si="1"/>
        <v>988695</v>
      </c>
      <c r="H22" s="23">
        <f t="shared" ca="1" si="2"/>
        <v>4810</v>
      </c>
      <c r="I22" s="47">
        <f t="shared" ca="1" si="3"/>
        <v>6081</v>
      </c>
      <c r="J22" s="23">
        <v>19</v>
      </c>
      <c r="K22" s="30">
        <f>RandomSelection(AREA!$D$5:$D$22)</f>
        <v>12</v>
      </c>
      <c r="L22">
        <f>RandomSelection(RENDIMIENTO!$H$7:$H$106)</f>
        <v>4</v>
      </c>
      <c r="M22" s="25">
        <f>RandomSelection(SEDE!$D$5:$D$14)</f>
        <v>1</v>
      </c>
      <c r="O22" s="4" t="str">
        <f t="shared" ca="1" si="4"/>
        <v>INSERT INTO Empleado VALUES ('AYALA ALSINA','cela@altecom.es','PLAZA BL. G NRO. 3 DPTO. 301 URB. MANZANILLA','32941051','gata','988695','4810','6081','19','12','4','1');</v>
      </c>
      <c r="AH22" s="20"/>
    </row>
    <row r="23" spans="2:34" ht="15.75" customHeight="1" x14ac:dyDescent="0.25">
      <c r="B23" s="28" t="s">
        <v>406</v>
      </c>
      <c r="C23" s="32" t="s">
        <v>59</v>
      </c>
      <c r="D23" s="31" t="s">
        <v>258</v>
      </c>
      <c r="E23" s="23">
        <f t="shared" ca="1" si="0"/>
        <v>42640570</v>
      </c>
      <c r="F23" s="32" t="s">
        <v>129</v>
      </c>
      <c r="G23" s="23">
        <f t="shared" ca="1" si="1"/>
        <v>594288</v>
      </c>
      <c r="H23" s="23">
        <f t="shared" ca="1" si="2"/>
        <v>7722</v>
      </c>
      <c r="I23" s="47">
        <f t="shared" ca="1" si="3"/>
        <v>4291</v>
      </c>
      <c r="J23" s="23">
        <v>20</v>
      </c>
      <c r="K23" s="30">
        <f>RandomSelection(AREA!$D$5:$D$22)</f>
        <v>17</v>
      </c>
      <c r="L23">
        <f>RandomSelection(RENDIMIENTO!$H$7:$H$106)</f>
        <v>1</v>
      </c>
      <c r="M23" s="25">
        <f>RandomSelection(SEDE!$D$5:$D$14)</f>
        <v>9</v>
      </c>
      <c r="N23" s="21"/>
      <c r="O23" s="4" t="str">
        <f t="shared" ca="1" si="4"/>
        <v>INSERT INTO Empleado VALUES ('ALVAREZ TROYANO','coco@hotmail.com','SECTOR 8 GRUPO 1 MZ. C LT. 12','42640570','Gateta','594288','7722','4291','20','17','1','9');</v>
      </c>
      <c r="AH23" s="20"/>
    </row>
    <row r="24" spans="2:34" ht="15.75" customHeight="1" x14ac:dyDescent="0.25">
      <c r="B24" s="28" t="s">
        <v>407</v>
      </c>
      <c r="C24" s="32" t="s">
        <v>61</v>
      </c>
      <c r="D24" s="31" t="s">
        <v>262</v>
      </c>
      <c r="E24" s="23">
        <f t="shared" ca="1" si="0"/>
        <v>91450569</v>
      </c>
      <c r="F24" s="32" t="s">
        <v>130</v>
      </c>
      <c r="G24" s="23">
        <f t="shared" ca="1" si="1"/>
        <v>283310</v>
      </c>
      <c r="H24" s="23">
        <f t="shared" ca="1" si="2"/>
        <v>2794</v>
      </c>
      <c r="I24" s="47">
        <f t="shared" ca="1" si="3"/>
        <v>1299</v>
      </c>
      <c r="J24" s="23">
        <v>21</v>
      </c>
      <c r="K24" s="30">
        <f>RandomSelection(AREA!$D$5:$D$22)</f>
        <v>11</v>
      </c>
      <c r="L24">
        <f>RandomSelection(RENDIMIENTO!$H$7:$H$106)</f>
        <v>66</v>
      </c>
      <c r="M24" s="25">
        <f>RandomSelection(SEDE!$D$5:$D$14)</f>
        <v>7</v>
      </c>
      <c r="O24" s="4" t="str">
        <f t="shared" ca="1" si="4"/>
        <v>INSERT INTO Empleado VALUES ('ALINS GONZÁLEZ','conejo@minorisa.es','AV. JOAQUIN CAPELLO 366 DPTO 405 UIRB. SANTA CRUZ','91450569','Gioconda','283310','2794','1299','21','11','66','7');</v>
      </c>
      <c r="AH24" s="20"/>
    </row>
    <row r="25" spans="2:34" ht="15.75" customHeight="1" x14ac:dyDescent="0.25">
      <c r="B25" s="28" t="s">
        <v>408</v>
      </c>
      <c r="C25" s="32" t="s">
        <v>65</v>
      </c>
      <c r="D25" s="31" t="s">
        <v>263</v>
      </c>
      <c r="E25" s="23">
        <f t="shared" ca="1" si="0"/>
        <v>11511386</v>
      </c>
      <c r="F25" s="32" t="s">
        <v>131</v>
      </c>
      <c r="G25" s="23">
        <f t="shared" ca="1" si="1"/>
        <v>449049</v>
      </c>
      <c r="H25" s="23">
        <f t="shared" ca="1" si="2"/>
        <v>2244</v>
      </c>
      <c r="I25" s="47">
        <f t="shared" ca="1" si="3"/>
        <v>7193</v>
      </c>
      <c r="J25" s="23">
        <v>22</v>
      </c>
      <c r="K25" s="30">
        <f>RandomSelection(AREA!$D$5:$D$22)</f>
        <v>18</v>
      </c>
      <c r="L25">
        <f>RandomSelection(RENDIMIENTO!$H$7:$H$106)</f>
        <v>78</v>
      </c>
      <c r="M25" s="25">
        <f>RandomSelection(SEDE!$D$5:$D$14)</f>
        <v>1</v>
      </c>
      <c r="O25" s="4" t="str">
        <f t="shared" ca="1" si="4"/>
        <v>INSERT INTO Empleado VALUES ('ACUÑA TORT','corcel@altecom.es','JR. FRANCIA Nº 1813 LA VICTORIA','11511386','Groucho','449049','2244','7193','22','18','78','1');</v>
      </c>
      <c r="AH25" s="20"/>
    </row>
    <row r="26" spans="2:34" ht="15.75" customHeight="1" x14ac:dyDescent="0.25">
      <c r="B26" s="28" t="s">
        <v>409</v>
      </c>
      <c r="C26" s="32" t="s">
        <v>13</v>
      </c>
      <c r="D26" s="31" t="s">
        <v>264</v>
      </c>
      <c r="E26" s="23">
        <f t="shared" ca="1" si="0"/>
        <v>51324098</v>
      </c>
      <c r="F26" s="32" t="s">
        <v>132</v>
      </c>
      <c r="G26" s="23">
        <f t="shared" ca="1" si="1"/>
        <v>240150</v>
      </c>
      <c r="H26" s="23">
        <f t="shared" ca="1" si="2"/>
        <v>8771</v>
      </c>
      <c r="I26" s="47">
        <f t="shared" ca="1" si="3"/>
        <v>5825</v>
      </c>
      <c r="J26" s="23">
        <v>23</v>
      </c>
      <c r="K26" s="30">
        <f>RandomSelection(AREA!$D$5:$D$22)</f>
        <v>3</v>
      </c>
      <c r="L26">
        <f>RandomSelection(RENDIMIENTO!$H$7:$H$106)</f>
        <v>28</v>
      </c>
      <c r="M26" s="25">
        <f>RandomSelection(SEDE!$D$5:$D$14)</f>
        <v>2</v>
      </c>
      <c r="O26" s="4" t="str">
        <f t="shared" ca="1" si="4"/>
        <v>INSERT INTO Empleado VALUES ('ALGUÉ TRANCHO','curie@minorisa.es','AV. MARISCAL ELOY URETA 316 URB. EL PINO','51324098','Harpo','240150','8771','5825','23','3','28','2');</v>
      </c>
      <c r="AH26" s="20"/>
    </row>
    <row r="27" spans="2:34" ht="15.75" customHeight="1" x14ac:dyDescent="0.25">
      <c r="B27" s="28" t="s">
        <v>410</v>
      </c>
      <c r="C27" s="32" t="s">
        <v>55</v>
      </c>
      <c r="D27" s="31" t="s">
        <v>265</v>
      </c>
      <c r="E27" s="23">
        <f t="shared" ca="1" si="0"/>
        <v>14993099</v>
      </c>
      <c r="F27" s="32" t="s">
        <v>133</v>
      </c>
      <c r="G27" s="23">
        <f ca="1">RANDBETWEEN(100000,999999)</f>
        <v>603714</v>
      </c>
      <c r="H27" s="23">
        <f t="shared" ca="1" si="2"/>
        <v>3314</v>
      </c>
      <c r="I27" s="47">
        <f t="shared" ca="1" si="3"/>
        <v>4449</v>
      </c>
      <c r="J27" s="23">
        <v>24</v>
      </c>
      <c r="K27" s="30">
        <f>RandomSelection(AREA!$D$5:$D$22)</f>
        <v>15</v>
      </c>
      <c r="L27">
        <f>RandomSelection(RENDIMIENTO!$H$7:$H$106)</f>
        <v>38</v>
      </c>
      <c r="M27" s="25">
        <f>RandomSelection(SEDE!$D$5:$D$14)</f>
        <v>6</v>
      </c>
      <c r="O27" s="4" t="str">
        <f t="shared" ca="1" si="4"/>
        <v>INSERT INTO Empleado VALUES ('BADIA CASTILLO','dalí@wandoo.es','JR. RIO TUMBES 215 URB. LAS MORAS','14993099','Hispa','603714','3314','4449','24','15','38','6');</v>
      </c>
      <c r="AH27" s="20"/>
    </row>
    <row r="28" spans="2:34" ht="15.75" customHeight="1" x14ac:dyDescent="0.25">
      <c r="B28" s="28" t="s">
        <v>411</v>
      </c>
      <c r="C28" s="32" t="s">
        <v>201</v>
      </c>
      <c r="D28" s="31" t="s">
        <v>266</v>
      </c>
      <c r="E28" s="23">
        <f t="shared" ca="1" si="0"/>
        <v>87643999</v>
      </c>
      <c r="F28" s="32" t="s">
        <v>134</v>
      </c>
      <c r="G28" s="23">
        <f t="shared" ca="1" si="1"/>
        <v>932513</v>
      </c>
      <c r="H28" s="23">
        <f t="shared" ca="1" si="2"/>
        <v>2077</v>
      </c>
      <c r="I28" s="47">
        <f t="shared" ca="1" si="3"/>
        <v>5236</v>
      </c>
      <c r="J28" s="23">
        <v>25</v>
      </c>
      <c r="K28" s="30">
        <f>RandomSelection(AREA!$D$5:$D$22)</f>
        <v>13</v>
      </c>
      <c r="L28">
        <f>RandomSelection(RENDIMIENTO!$H$7:$H$106)</f>
        <v>10</v>
      </c>
      <c r="M28" s="25">
        <f>RandomSelection(SEDE!$D$5:$D$14)</f>
        <v>9</v>
      </c>
      <c r="O28" s="4" t="str">
        <f t="shared" ca="1" si="4"/>
        <v>INSERT INTO Empleado VALUES ('BENITEZ FLORES','dolça@cidet.com','CALLE ENRIQUE BARRON 280 URB.TEJADA','87643999','Hojalatero','932513','2077','5236','25','13','10','9');</v>
      </c>
      <c r="AH28" s="20"/>
    </row>
    <row r="29" spans="2:34" ht="15.75" customHeight="1" x14ac:dyDescent="0.25">
      <c r="B29" s="28" t="s">
        <v>412</v>
      </c>
      <c r="C29" s="32" t="s">
        <v>202</v>
      </c>
      <c r="D29" s="31" t="s">
        <v>267</v>
      </c>
      <c r="E29" s="23">
        <f t="shared" ca="1" si="0"/>
        <v>18514348</v>
      </c>
      <c r="F29" s="32" t="s">
        <v>135</v>
      </c>
      <c r="G29" s="23">
        <f t="shared" ca="1" si="1"/>
        <v>102042</v>
      </c>
      <c r="H29" s="23">
        <f t="shared" ca="1" si="2"/>
        <v>3483</v>
      </c>
      <c r="I29" s="47">
        <f t="shared" ca="1" si="3"/>
        <v>4183</v>
      </c>
      <c r="J29" s="23">
        <v>26</v>
      </c>
      <c r="K29" s="30">
        <f>RandomSelection(AREA!$D$5:$D$22)</f>
        <v>7</v>
      </c>
      <c r="L29">
        <f>RandomSelection(RENDIMIENTO!$H$7:$H$106)</f>
        <v>87</v>
      </c>
      <c r="M29" s="25">
        <f>RandomSelection(SEDE!$D$5:$D$14)</f>
        <v>8</v>
      </c>
      <c r="O29" s="4" t="str">
        <f t="shared" ca="1" si="4"/>
        <v>INSERT INTO Empleado VALUES ('TORRUELLA GARCIA','dorada@intercom.es','AV. AV. JAVIER PRADO OESTE NRO. 2367 DPTO. 202','18514348','Huevo','102042','3483','4183','26','7','87','8');</v>
      </c>
      <c r="AH29" s="20"/>
    </row>
    <row r="30" spans="2:34" ht="15.75" customHeight="1" x14ac:dyDescent="0.25">
      <c r="B30" s="28" t="s">
        <v>413</v>
      </c>
      <c r="C30" s="32" t="s">
        <v>203</v>
      </c>
      <c r="D30" s="31" t="s">
        <v>268</v>
      </c>
      <c r="E30" s="23">
        <f t="shared" ca="1" si="0"/>
        <v>65932164</v>
      </c>
      <c r="F30" s="32" t="s">
        <v>136</v>
      </c>
      <c r="G30" s="23">
        <f t="shared" ca="1" si="1"/>
        <v>921346</v>
      </c>
      <c r="H30" s="23">
        <f t="shared" ca="1" si="2"/>
        <v>8195</v>
      </c>
      <c r="I30" s="47">
        <f t="shared" ca="1" si="3"/>
        <v>1388</v>
      </c>
      <c r="J30" s="23">
        <v>27</v>
      </c>
      <c r="K30" s="30">
        <f>RandomSelection(AREA!$D$5:$D$22)</f>
        <v>13</v>
      </c>
      <c r="L30">
        <f>RandomSelection(RENDIMIENTO!$H$7:$H$106)</f>
        <v>82</v>
      </c>
      <c r="M30" s="25">
        <f>RandomSelection(SEDE!$D$5:$D$14)</f>
        <v>10</v>
      </c>
      <c r="O30" s="4" t="str">
        <f t="shared" ca="1" si="4"/>
        <v>INSERT INTO Empleado VALUES ('ALBERICH RODRIGUEZ','elisa@altecom.es','PSJE. SEÑOR DE LOS MILAGROS 103 MERCADO PRODUCTORES','65932164','James Dean','921346','8195','1388','27','13','82','10');</v>
      </c>
      <c r="AH30" s="20"/>
    </row>
    <row r="31" spans="2:34" ht="15.75" customHeight="1" x14ac:dyDescent="0.25">
      <c r="B31" s="28" t="s">
        <v>414</v>
      </c>
      <c r="C31" s="32" t="s">
        <v>204</v>
      </c>
      <c r="D31" s="31" t="s">
        <v>269</v>
      </c>
      <c r="E31" s="23">
        <f t="shared" ca="1" si="0"/>
        <v>29058546</v>
      </c>
      <c r="F31" s="32" t="s">
        <v>137</v>
      </c>
      <c r="G31" s="23">
        <f t="shared" ca="1" si="1"/>
        <v>742258</v>
      </c>
      <c r="H31" s="23">
        <f t="shared" ca="1" si="2"/>
        <v>2774</v>
      </c>
      <c r="I31" s="47">
        <f t="shared" ca="1" si="3"/>
        <v>2191</v>
      </c>
      <c r="J31" s="23">
        <v>28</v>
      </c>
      <c r="K31" s="30">
        <f>RandomSelection(AREA!$D$5:$D$22)</f>
        <v>5</v>
      </c>
      <c r="L31">
        <f>RandomSelection(RENDIMIENTO!$H$7:$H$106)</f>
        <v>53</v>
      </c>
      <c r="M31" s="25">
        <f>RandomSelection(SEDE!$D$5:$D$14)</f>
        <v>6</v>
      </c>
      <c r="O31" s="4" t="str">
        <f t="shared" ca="1" si="4"/>
        <v>INSERT INTO Empleado VALUES ('ARMENCOT PUIG','encarna@hotmail.com','CALLE 54 NRO 109 INT. 205 URB. CORPAC','29058546','Jéssica','742258','2774','2191','28','5','53','6');</v>
      </c>
      <c r="AH31" s="20"/>
    </row>
    <row r="32" spans="2:34" ht="15.75" customHeight="1" x14ac:dyDescent="0.25">
      <c r="B32" s="28" t="s">
        <v>415</v>
      </c>
      <c r="C32" s="32" t="s">
        <v>205</v>
      </c>
      <c r="D32" s="31" t="s">
        <v>268</v>
      </c>
      <c r="E32" s="23">
        <f t="shared" ca="1" si="0"/>
        <v>17647235</v>
      </c>
      <c r="F32" s="32" t="s">
        <v>138</v>
      </c>
      <c r="G32" s="23">
        <f t="shared" ca="1" si="1"/>
        <v>330313</v>
      </c>
      <c r="H32" s="23">
        <f t="shared" ca="1" si="2"/>
        <v>5128</v>
      </c>
      <c r="I32" s="47">
        <f t="shared" ca="1" si="3"/>
        <v>5981</v>
      </c>
      <c r="J32" s="23">
        <v>29</v>
      </c>
      <c r="K32" s="30">
        <f>RandomSelection(AREA!$D$5:$D$22)</f>
        <v>4</v>
      </c>
      <c r="L32">
        <f>RandomSelection(RENDIMIENTO!$H$7:$H$106)</f>
        <v>21</v>
      </c>
      <c r="M32" s="25">
        <f>RandomSelection(SEDE!$D$5:$D$14)</f>
        <v>9</v>
      </c>
      <c r="O32" s="4" t="str">
        <f t="shared" ca="1" si="4"/>
        <v>INSERT INTO Empleado VALUES ('ALIGUÉ RIVERA','entesa@altecom.es','PSJE. SEÑOR DE LOS MILAGROS 103 MERCADO PRODUCTORES','17647235','Julia','330313','5128','5981','29','4','21','9');</v>
      </c>
      <c r="AH32" s="20"/>
    </row>
    <row r="33" spans="2:34" ht="15.75" customHeight="1" x14ac:dyDescent="0.25">
      <c r="B33" s="28" t="s">
        <v>416</v>
      </c>
      <c r="C33" s="32" t="s">
        <v>206</v>
      </c>
      <c r="D33" s="31" t="s">
        <v>270</v>
      </c>
      <c r="E33" s="23">
        <f t="shared" ca="1" si="0"/>
        <v>84723171</v>
      </c>
      <c r="F33" s="32" t="s">
        <v>139</v>
      </c>
      <c r="G33" s="23">
        <f t="shared" ca="1" si="1"/>
        <v>493149</v>
      </c>
      <c r="H33" s="23">
        <f t="shared" ca="1" si="2"/>
        <v>8790</v>
      </c>
      <c r="I33" s="47">
        <f t="shared" ca="1" si="3"/>
        <v>3416</v>
      </c>
      <c r="J33" s="23">
        <v>30</v>
      </c>
      <c r="K33" s="30">
        <f>RandomSelection(AREA!$D$5:$D$22)</f>
        <v>10</v>
      </c>
      <c r="L33">
        <f>RandomSelection(RENDIMIENTO!$H$7:$H$106)</f>
        <v>32</v>
      </c>
      <c r="M33" s="25">
        <f>RandomSelection(SEDE!$D$5:$D$14)</f>
        <v>7</v>
      </c>
      <c r="O33" s="4" t="str">
        <f t="shared" ca="1" si="4"/>
        <v>INSERT INTO Empleado VALUES ('BARRIGA RIU','et@altecom.es','MZ. O LT 11 SECTOR C3 PROYECTO.PILOTO PACHACUTEC','84723171','Julio','493149','8790','3416','30','10','32','7');</v>
      </c>
      <c r="AH33" s="20"/>
    </row>
    <row r="34" spans="2:34" ht="15.75" customHeight="1" x14ac:dyDescent="0.25">
      <c r="B34" s="28" t="s">
        <v>417</v>
      </c>
      <c r="C34" s="32" t="s">
        <v>207</v>
      </c>
      <c r="D34" s="31" t="s">
        <v>265</v>
      </c>
      <c r="E34" s="23">
        <f t="shared" ca="1" si="0"/>
        <v>68287387</v>
      </c>
      <c r="F34" s="32" t="s">
        <v>140</v>
      </c>
      <c r="G34" s="23">
        <f t="shared" ca="1" si="1"/>
        <v>589119</v>
      </c>
      <c r="H34" s="23">
        <f t="shared" ca="1" si="2"/>
        <v>1983</v>
      </c>
      <c r="I34" s="47">
        <f t="shared" ca="1" si="3"/>
        <v>4043</v>
      </c>
      <c r="J34" s="23">
        <v>31</v>
      </c>
      <c r="K34" s="30">
        <f>RandomSelection(AREA!$D$5:$D$22)</f>
        <v>15</v>
      </c>
      <c r="L34">
        <f>RandomSelection(RENDIMIENTO!$H$7:$H$106)</f>
        <v>20</v>
      </c>
      <c r="M34" s="25">
        <f>RandomSelection(SEDE!$D$5:$D$14)</f>
        <v>5</v>
      </c>
      <c r="O34" s="4" t="str">
        <f t="shared" ca="1" si="4"/>
        <v>INSERT INTO Empleado VALUES ('PORTELLA GISPETS','experta@wandoo.es','JR. RIO TUMBES 215 URB. LAS MORAS','68287387','Lali','589119','1983','4043','31','15','20','5');</v>
      </c>
      <c r="AH34" s="20"/>
    </row>
    <row r="35" spans="2:34" ht="15.75" customHeight="1" x14ac:dyDescent="0.25">
      <c r="B35" s="28" t="s">
        <v>418</v>
      </c>
      <c r="C35" s="32" t="s">
        <v>208</v>
      </c>
      <c r="D35" s="31" t="s">
        <v>271</v>
      </c>
      <c r="E35" s="23">
        <f t="shared" ca="1" si="0"/>
        <v>11668841</v>
      </c>
      <c r="F35" s="32" t="s">
        <v>141</v>
      </c>
      <c r="G35" s="23">
        <f t="shared" ca="1" si="1"/>
        <v>533687</v>
      </c>
      <c r="H35" s="23">
        <f t="shared" ca="1" si="2"/>
        <v>1697</v>
      </c>
      <c r="I35" s="47">
        <f t="shared" ca="1" si="3"/>
        <v>6187</v>
      </c>
      <c r="J35" s="23">
        <v>32</v>
      </c>
      <c r="K35" s="30">
        <f>RandomSelection(AREA!$D$5:$D$22)</f>
        <v>11</v>
      </c>
      <c r="L35">
        <f>RandomSelection(RENDIMIENTO!$H$7:$H$106)</f>
        <v>33</v>
      </c>
      <c r="M35" s="25">
        <f>RandomSelection(SEDE!$D$5:$D$14)</f>
        <v>7</v>
      </c>
      <c r="O35" s="4" t="str">
        <f t="shared" ca="1" si="4"/>
        <v>INSERT INTO Empleado VALUES ('AGUILERA BAENA','f5@wandoo.es','CALLE MANUEL UGARTECHE MZ Z 2 LT. 24 URB. GRUMETE MEDINA','11668841','libero','533687','1697','6187','32','11','33','7');</v>
      </c>
      <c r="AH35" s="20"/>
    </row>
    <row r="36" spans="2:34" ht="15.75" customHeight="1" x14ac:dyDescent="0.25">
      <c r="B36" s="28" t="s">
        <v>419</v>
      </c>
      <c r="C36" s="32" t="s">
        <v>209</v>
      </c>
      <c r="D36" s="31" t="s">
        <v>272</v>
      </c>
      <c r="E36" s="23">
        <f t="shared" ca="1" si="0"/>
        <v>91572613</v>
      </c>
      <c r="F36" s="32" t="s">
        <v>142</v>
      </c>
      <c r="G36" s="23">
        <f t="shared" ca="1" si="1"/>
        <v>335874</v>
      </c>
      <c r="H36" s="23">
        <f t="shared" ca="1" si="2"/>
        <v>4489</v>
      </c>
      <c r="I36" s="47">
        <f t="shared" ca="1" si="3"/>
        <v>3138</v>
      </c>
      <c r="J36" s="23">
        <v>33</v>
      </c>
      <c r="K36" s="30">
        <f>RandomSelection(AREA!$D$5:$D$22)</f>
        <v>11</v>
      </c>
      <c r="L36">
        <f>RandomSelection(RENDIMIENTO!$H$7:$H$106)</f>
        <v>95</v>
      </c>
      <c r="M36" s="25">
        <f>RandomSelection(SEDE!$D$5:$D$14)</f>
        <v>2</v>
      </c>
      <c r="O36" s="4" t="str">
        <f t="shared" ca="1" si="4"/>
        <v>INSERT INTO Empleado VALUES ('RODRIGUEZ GARCÍA','fina@hotmail.com','AV. JAVIER PRADO ESTE 560 INT. 1502 (A LADO DE 566)','91572613','Llus','335874','4489','3138','33','11','95','2');</v>
      </c>
      <c r="AH36" s="20"/>
    </row>
    <row r="37" spans="2:34" ht="15.75" customHeight="1" x14ac:dyDescent="0.25">
      <c r="B37" s="28" t="s">
        <v>420</v>
      </c>
      <c r="C37" s="32" t="s">
        <v>210</v>
      </c>
      <c r="D37" s="31" t="s">
        <v>272</v>
      </c>
      <c r="E37" s="23">
        <f t="shared" ca="1" si="0"/>
        <v>42142069</v>
      </c>
      <c r="F37" s="32" t="s">
        <v>143</v>
      </c>
      <c r="G37" s="23">
        <f t="shared" ca="1" si="1"/>
        <v>347406</v>
      </c>
      <c r="H37" s="23">
        <f t="shared" ca="1" si="2"/>
        <v>6259</v>
      </c>
      <c r="I37" s="47">
        <f t="shared" ca="1" si="3"/>
        <v>6769</v>
      </c>
      <c r="J37" s="23">
        <v>34</v>
      </c>
      <c r="K37" s="30">
        <f>RandomSelection(AREA!$D$5:$D$22)</f>
        <v>13</v>
      </c>
      <c r="L37">
        <f>RandomSelection(RENDIMIENTO!$H$7:$H$106)</f>
        <v>45</v>
      </c>
      <c r="M37" s="25">
        <f>RandomSelection(SEDE!$D$5:$D$14)</f>
        <v>4</v>
      </c>
      <c r="O37" s="4" t="str">
        <f t="shared" ca="1" si="4"/>
        <v>INSERT INTO Empleado VALUES ('AGUILAR SUNYÉ','fuego@altecom.es','AV. JAVIER PRADO ESTE 560 INT. 1502 (A LADO DE 566)','42142069','Loli','347406','6259','6769','34','13','45','4');</v>
      </c>
      <c r="AH37" s="20"/>
    </row>
    <row r="38" spans="2:34" ht="15.75" customHeight="1" x14ac:dyDescent="0.25">
      <c r="B38" s="28" t="s">
        <v>421</v>
      </c>
      <c r="C38" s="32" t="s">
        <v>211</v>
      </c>
      <c r="D38" s="31" t="s">
        <v>273</v>
      </c>
      <c r="E38" s="23">
        <f t="shared" ca="1" si="0"/>
        <v>95733102</v>
      </c>
      <c r="F38" s="32" t="s">
        <v>144</v>
      </c>
      <c r="G38" s="23">
        <f t="shared" ca="1" si="1"/>
        <v>726157</v>
      </c>
      <c r="H38" s="23">
        <f t="shared" ca="1" si="2"/>
        <v>7352</v>
      </c>
      <c r="I38" s="47">
        <f t="shared" ca="1" si="3"/>
        <v>3381</v>
      </c>
      <c r="J38" s="23">
        <v>35</v>
      </c>
      <c r="K38" s="30">
        <f>RandomSelection(AREA!$D$5:$D$22)</f>
        <v>14</v>
      </c>
      <c r="L38">
        <f>RandomSelection(RENDIMIENTO!$H$7:$H$106)</f>
        <v>80</v>
      </c>
      <c r="M38" s="25">
        <f>RandomSelection(SEDE!$D$5:$D$14)</f>
        <v>7</v>
      </c>
      <c r="O38" s="4" t="str">
        <f t="shared" ca="1" si="4"/>
        <v>INSERT INTO Empleado VALUES ('BARRIGA TARDÀ','garota@hotmail.com','CALLE EL HABITO 921 - URB. CANTO GRANDE','95733102','Madonna','726157','7352','3381','35','14','80','7');</v>
      </c>
      <c r="AH38" s="20"/>
    </row>
    <row r="39" spans="2:34" ht="15.75" customHeight="1" x14ac:dyDescent="0.25">
      <c r="B39" s="28" t="s">
        <v>422</v>
      </c>
      <c r="C39" s="32" t="s">
        <v>212</v>
      </c>
      <c r="D39" s="31" t="s">
        <v>274</v>
      </c>
      <c r="E39" s="23">
        <f t="shared" ca="1" si="0"/>
        <v>28012178</v>
      </c>
      <c r="F39" s="32" t="s">
        <v>145</v>
      </c>
      <c r="G39" s="23">
        <f t="shared" ca="1" si="1"/>
        <v>512199</v>
      </c>
      <c r="H39" s="23">
        <f t="shared" ca="1" si="2"/>
        <v>7731</v>
      </c>
      <c r="I39" s="47">
        <f t="shared" ca="1" si="3"/>
        <v>3263</v>
      </c>
      <c r="J39" s="23">
        <v>36</v>
      </c>
      <c r="K39" s="30">
        <f>RandomSelection(AREA!$D$5:$D$22)</f>
        <v>13</v>
      </c>
      <c r="L39">
        <f>RandomSelection(RENDIMIENTO!$H$7:$H$106)</f>
        <v>94</v>
      </c>
      <c r="M39" s="25">
        <f>RandomSelection(SEDE!$D$5:$D$14)</f>
        <v>6</v>
      </c>
      <c r="O39" s="4" t="str">
        <f t="shared" ca="1" si="4"/>
        <v>INSERT INTO Empleado VALUES ('BARCONS LARA','gateta@cataloniamail.com','JR. LAS PERLAS 1882 2DO PISO','28012178','Mata Hari','512199','7731','3263','36','13','94','6');</v>
      </c>
      <c r="AH39" s="20"/>
    </row>
    <row r="40" spans="2:34" ht="15.75" customHeight="1" x14ac:dyDescent="0.25">
      <c r="B40" s="28" t="s">
        <v>423</v>
      </c>
      <c r="C40" s="32" t="s">
        <v>213</v>
      </c>
      <c r="D40" s="31" t="s">
        <v>275</v>
      </c>
      <c r="E40" s="23">
        <f t="shared" ca="1" si="0"/>
        <v>62162078</v>
      </c>
      <c r="F40" s="32" t="s">
        <v>146</v>
      </c>
      <c r="G40" s="23">
        <f t="shared" ca="1" si="1"/>
        <v>244823</v>
      </c>
      <c r="H40" s="23">
        <f t="shared" ca="1" si="2"/>
        <v>6111</v>
      </c>
      <c r="I40" s="47">
        <f t="shared" ca="1" si="3"/>
        <v>2610</v>
      </c>
      <c r="J40" s="23">
        <v>37</v>
      </c>
      <c r="K40" s="30">
        <f>RandomSelection(AREA!$D$5:$D$22)</f>
        <v>13</v>
      </c>
      <c r="L40">
        <f>RandomSelection(RENDIMIENTO!$H$7:$H$106)</f>
        <v>64</v>
      </c>
      <c r="M40" s="25">
        <f>RandomSelection(SEDE!$D$5:$D$14)</f>
        <v>10</v>
      </c>
      <c r="O40" s="4" t="str">
        <f t="shared" ca="1" si="4"/>
        <v>INSERT INTO Empleado VALUES ('AGUILERA TATJÉ','groucho@intercom.es','CALLE COMANDANTE JIMENEZ 150','62162078','Melanie','244823','6111','2610','37','13','64','10');</v>
      </c>
      <c r="AH40" s="20"/>
    </row>
    <row r="41" spans="2:34" ht="15.75" customHeight="1" x14ac:dyDescent="0.25">
      <c r="B41" s="28" t="s">
        <v>424</v>
      </c>
      <c r="C41" s="32" t="s">
        <v>214</v>
      </c>
      <c r="D41" s="31" t="s">
        <v>276</v>
      </c>
      <c r="E41" s="23">
        <f t="shared" ca="1" si="0"/>
        <v>56113037</v>
      </c>
      <c r="F41" s="32" t="s">
        <v>147</v>
      </c>
      <c r="G41" s="23">
        <f t="shared" ca="1" si="1"/>
        <v>507864</v>
      </c>
      <c r="H41" s="23">
        <f t="shared" ca="1" si="2"/>
        <v>9774</v>
      </c>
      <c r="I41" s="47">
        <f t="shared" ca="1" si="3"/>
        <v>4332</v>
      </c>
      <c r="J41" s="23">
        <v>38</v>
      </c>
      <c r="K41" s="30">
        <f>RandomSelection(AREA!$D$5:$D$22)</f>
        <v>6</v>
      </c>
      <c r="L41">
        <f>RandomSelection(RENDIMIENTO!$H$7:$H$106)</f>
        <v>59</v>
      </c>
      <c r="M41" s="25">
        <f>RandomSelection(SEDE!$D$5:$D$14)</f>
        <v>10</v>
      </c>
      <c r="O41" s="4" t="str">
        <f t="shared" ca="1" si="4"/>
        <v>INSERT INTO Empleado VALUES ('ALEU PRAT','harpo@hotmail.com','AV. REYNALDO SAAVEDRA PINON 2627 URB. ELIO','56113037','Melquíades','507864','9774','4332','38','6','59','10');</v>
      </c>
      <c r="AH41" s="20"/>
    </row>
    <row r="42" spans="2:34" ht="15.75" customHeight="1" x14ac:dyDescent="0.25">
      <c r="B42" s="28" t="s">
        <v>309</v>
      </c>
      <c r="C42" s="32" t="s">
        <v>215</v>
      </c>
      <c r="D42" s="31" t="s">
        <v>264</v>
      </c>
      <c r="E42" s="23">
        <f t="shared" ca="1" si="0"/>
        <v>55164675</v>
      </c>
      <c r="F42" s="32" t="s">
        <v>148</v>
      </c>
      <c r="G42" s="23">
        <f t="shared" ca="1" si="1"/>
        <v>925036</v>
      </c>
      <c r="H42" s="23">
        <f t="shared" ca="1" si="2"/>
        <v>2838</v>
      </c>
      <c r="I42" s="47">
        <f t="shared" ca="1" si="3"/>
        <v>8647</v>
      </c>
      <c r="J42" s="23">
        <v>39</v>
      </c>
      <c r="K42" s="30">
        <f>RandomSelection(AREA!$D$5:$D$22)</f>
        <v>15</v>
      </c>
      <c r="L42">
        <f>RandomSelection(RENDIMIENTO!$H$7:$H$106)</f>
        <v>26</v>
      </c>
      <c r="M42" s="25">
        <f>RandomSelection(SEDE!$D$5:$D$14)</f>
        <v>3</v>
      </c>
      <c r="O42" s="4" t="str">
        <f t="shared" ca="1" si="4"/>
        <v>INSERT INTO Empleado VALUES ('VALLÉS GIRVENT','hispa@cataloniamail.com','AV. MARISCAL ELOY URETA 316 URB. EL PINO','55164675','Merche','925036','2838','8647','39','15','26','3');</v>
      </c>
      <c r="AH42" s="20"/>
    </row>
    <row r="43" spans="2:34" ht="15.75" customHeight="1" x14ac:dyDescent="0.25">
      <c r="B43" s="28" t="s">
        <v>425</v>
      </c>
      <c r="C43" s="32" t="s">
        <v>216</v>
      </c>
      <c r="D43" s="31" t="s">
        <v>275</v>
      </c>
      <c r="E43" s="23">
        <f t="shared" ca="1" si="0"/>
        <v>73573202</v>
      </c>
      <c r="F43" s="32" t="s">
        <v>149</v>
      </c>
      <c r="G43" s="23">
        <f t="shared" ca="1" si="1"/>
        <v>548493</v>
      </c>
      <c r="H43" s="23">
        <f t="shared" ca="1" si="2"/>
        <v>2515</v>
      </c>
      <c r="I43" s="47">
        <f t="shared" ca="1" si="3"/>
        <v>8238</v>
      </c>
      <c r="J43" s="23">
        <v>40</v>
      </c>
      <c r="K43" s="30">
        <f>RandomSelection(AREA!$D$5:$D$22)</f>
        <v>14</v>
      </c>
      <c r="L43">
        <f>RandomSelection(RENDIMIENTO!$H$7:$H$106)</f>
        <v>85</v>
      </c>
      <c r="M43" s="25">
        <f>RandomSelection(SEDE!$D$5:$D$14)</f>
        <v>7</v>
      </c>
      <c r="O43" s="4" t="str">
        <f t="shared" ca="1" si="4"/>
        <v>INSERT INTO Empleado VALUES ('MOLINA GARRIDO','huevo@terra.es','CALLE COMANDANTE JIMENEZ 150','73573202','Midas','548493','2515','8238','40','14','85','7');</v>
      </c>
      <c r="AH43" s="20"/>
    </row>
    <row r="44" spans="2:34" ht="15.75" customHeight="1" x14ac:dyDescent="0.25">
      <c r="B44" s="28" t="s">
        <v>426</v>
      </c>
      <c r="C44" s="32" t="s">
        <v>217</v>
      </c>
      <c r="D44" s="31" t="s">
        <v>263</v>
      </c>
      <c r="E44" s="23">
        <f t="shared" ca="1" si="0"/>
        <v>11693949</v>
      </c>
      <c r="F44" s="32" t="s">
        <v>150</v>
      </c>
      <c r="G44" s="23">
        <f t="shared" ca="1" si="1"/>
        <v>122213</v>
      </c>
      <c r="H44" s="23">
        <f t="shared" ca="1" si="2"/>
        <v>2990</v>
      </c>
      <c r="I44" s="47">
        <f t="shared" ca="1" si="3"/>
        <v>1873</v>
      </c>
      <c r="J44" s="23">
        <v>41</v>
      </c>
      <c r="K44" s="30">
        <f>RandomSelection(AREA!$D$5:$D$22)</f>
        <v>11</v>
      </c>
      <c r="L44">
        <f>RandomSelection(RENDIMIENTO!$H$7:$H$106)</f>
        <v>9</v>
      </c>
      <c r="M44" s="25">
        <f>RandomSelection(SEDE!$D$5:$D$14)</f>
        <v>3</v>
      </c>
      <c r="O44" s="4" t="str">
        <f t="shared" ca="1" si="4"/>
        <v>INSERT INTO Empleado VALUES ('ARISSA HERMOSO','james dean@intercom.es','JR. FRANCIA Nº 1813 LA VICTORIA','11693949','Mona lisa','122213','2990','1873','41','11','9','3');</v>
      </c>
      <c r="AH44" s="20"/>
    </row>
    <row r="45" spans="2:34" ht="15.75" customHeight="1" x14ac:dyDescent="0.25">
      <c r="B45" s="28" t="s">
        <v>427</v>
      </c>
      <c r="C45" s="32" t="s">
        <v>218</v>
      </c>
      <c r="D45" s="31" t="s">
        <v>275</v>
      </c>
      <c r="E45" s="23">
        <f t="shared" ca="1" si="0"/>
        <v>63022484</v>
      </c>
      <c r="F45" s="32" t="s">
        <v>151</v>
      </c>
      <c r="G45" s="23">
        <f t="shared" ca="1" si="1"/>
        <v>285765</v>
      </c>
      <c r="H45" s="23">
        <f t="shared" ca="1" si="2"/>
        <v>6078</v>
      </c>
      <c r="I45" s="47">
        <f t="shared" ca="1" si="3"/>
        <v>5695</v>
      </c>
      <c r="J45" s="23">
        <v>42</v>
      </c>
      <c r="K45" s="30">
        <f>RandomSelection(AREA!$D$5:$D$22)</f>
        <v>10</v>
      </c>
      <c r="L45">
        <f>RandomSelection(RENDIMIENTO!$H$7:$H$106)</f>
        <v>17</v>
      </c>
      <c r="M45" s="25">
        <f>RandomSelection(SEDE!$D$5:$D$14)</f>
        <v>2</v>
      </c>
      <c r="O45" s="4" t="str">
        <f t="shared" ca="1" si="4"/>
        <v>INSERT INTO Empleado VALUES ('BARALDÉS PARDO','jéssica@hotmail.com','CALLE COMANDANTE JIMENEZ 150','63022484','Moro','285765','6078','5695','42','10','17','2');</v>
      </c>
      <c r="AH45" s="20"/>
    </row>
    <row r="46" spans="2:34" ht="15.75" customHeight="1" x14ac:dyDescent="0.25">
      <c r="B46" s="28" t="s">
        <v>428</v>
      </c>
      <c r="C46" s="32" t="s">
        <v>219</v>
      </c>
      <c r="D46" s="31" t="s">
        <v>258</v>
      </c>
      <c r="E46" s="23">
        <f t="shared" ca="1" si="0"/>
        <v>25438033</v>
      </c>
      <c r="F46" s="32" t="s">
        <v>152</v>
      </c>
      <c r="G46" s="23">
        <f t="shared" ca="1" si="1"/>
        <v>957454</v>
      </c>
      <c r="H46" s="23">
        <f t="shared" ca="1" si="2"/>
        <v>8852</v>
      </c>
      <c r="I46" s="47">
        <f t="shared" ca="1" si="3"/>
        <v>6500</v>
      </c>
      <c r="J46" s="23">
        <v>43</v>
      </c>
      <c r="K46" s="30">
        <f>RandomSelection(AREA!$D$5:$D$22)</f>
        <v>3</v>
      </c>
      <c r="L46">
        <f>RandomSelection(RENDIMIENTO!$H$7:$H$106)</f>
        <v>61</v>
      </c>
      <c r="M46" s="25">
        <f>RandomSelection(SEDE!$D$5:$D$14)</f>
        <v>6</v>
      </c>
      <c r="O46" s="4" t="str">
        <f t="shared" ca="1" si="4"/>
        <v>INSERT INTO Empleado VALUES ('SUAREZ GARZÓN','llus@hotmail.com','SECTOR 8 GRUPO 1 MZ. C LT. 12','25438033','Mozart','957454','8852','6500','43','3','61','6');</v>
      </c>
      <c r="AH46" s="20"/>
    </row>
    <row r="47" spans="2:34" ht="15.75" customHeight="1" x14ac:dyDescent="0.25">
      <c r="B47" s="28" t="s">
        <v>429</v>
      </c>
      <c r="C47" s="32" t="s">
        <v>220</v>
      </c>
      <c r="D47" s="31" t="s">
        <v>273</v>
      </c>
      <c r="E47" s="23">
        <f t="shared" ca="1" si="0"/>
        <v>88296546</v>
      </c>
      <c r="F47" s="32" t="s">
        <v>153</v>
      </c>
      <c r="G47" s="23">
        <f t="shared" ca="1" si="1"/>
        <v>471179</v>
      </c>
      <c r="H47" s="23">
        <f t="shared" ca="1" si="2"/>
        <v>2490</v>
      </c>
      <c r="I47" s="47">
        <f t="shared" ca="1" si="3"/>
        <v>3457</v>
      </c>
      <c r="J47" s="23">
        <v>44</v>
      </c>
      <c r="K47" s="30">
        <f>RandomSelection(AREA!$D$5:$D$22)</f>
        <v>17</v>
      </c>
      <c r="L47">
        <f>RandomSelection(RENDIMIENTO!$H$7:$H$106)</f>
        <v>86</v>
      </c>
      <c r="M47" s="25">
        <f>RandomSelection(SEDE!$D$5:$D$14)</f>
        <v>2</v>
      </c>
      <c r="O47" s="4" t="str">
        <f t="shared" ca="1" si="4"/>
        <v>INSERT INTO Empleado VALUES ('ARPA MORENO','madonna@wandoo.es','CALLE EL HABITO 921 - URB. CANTO GRANDE','88296546','Nadadora','471179','2490','3457','44','17','86','2');</v>
      </c>
      <c r="AH47" s="20"/>
    </row>
    <row r="48" spans="2:34" ht="15.75" customHeight="1" x14ac:dyDescent="0.25">
      <c r="B48" s="28" t="s">
        <v>430</v>
      </c>
      <c r="C48" s="32" t="s">
        <v>221</v>
      </c>
      <c r="D48" s="31" t="s">
        <v>275</v>
      </c>
      <c r="E48" s="23">
        <f t="shared" ca="1" si="0"/>
        <v>91191381</v>
      </c>
      <c r="F48" s="32" t="s">
        <v>154</v>
      </c>
      <c r="G48" s="23">
        <f t="shared" ca="1" si="1"/>
        <v>663532</v>
      </c>
      <c r="H48" s="23">
        <f t="shared" ca="1" si="2"/>
        <v>9162</v>
      </c>
      <c r="I48" s="47">
        <f t="shared" ca="1" si="3"/>
        <v>5987</v>
      </c>
      <c r="J48" s="23">
        <v>45</v>
      </c>
      <c r="K48" s="30">
        <f>RandomSelection(AREA!$D$5:$D$22)</f>
        <v>16</v>
      </c>
      <c r="L48">
        <f>RandomSelection(RENDIMIENTO!$H$7:$H$106)</f>
        <v>77</v>
      </c>
      <c r="M48" s="25">
        <f>RandomSelection(SEDE!$D$5:$D$14)</f>
        <v>1</v>
      </c>
      <c r="O48" s="4" t="str">
        <f t="shared" ca="1" si="4"/>
        <v>INSERT INTO Empleado VALUES ('ALOY FARRANDO','mata hari@intercom.es','CALLE COMANDANTE JIMENEZ 150','91191381','Nalga','663532','9162','5987','45','16','77','1');</v>
      </c>
      <c r="AH48" s="20"/>
    </row>
    <row r="49" spans="2:34" ht="15.75" customHeight="1" x14ac:dyDescent="0.25">
      <c r="B49" s="28" t="s">
        <v>431</v>
      </c>
      <c r="C49" s="32" t="s">
        <v>222</v>
      </c>
      <c r="D49" s="31" t="s">
        <v>263</v>
      </c>
      <c r="E49" s="23">
        <f t="shared" ca="1" si="0"/>
        <v>74407845</v>
      </c>
      <c r="F49" s="32" t="s">
        <v>155</v>
      </c>
      <c r="G49" s="23">
        <f t="shared" ca="1" si="1"/>
        <v>641691</v>
      </c>
      <c r="H49" s="23">
        <f t="shared" ca="1" si="2"/>
        <v>9985</v>
      </c>
      <c r="I49" s="47">
        <f t="shared" ca="1" si="3"/>
        <v>6075</v>
      </c>
      <c r="J49" s="23">
        <v>46</v>
      </c>
      <c r="K49" s="30">
        <f>RandomSelection(AREA!$D$5:$D$22)</f>
        <v>14</v>
      </c>
      <c r="L49">
        <f>RandomSelection(RENDIMIENTO!$H$7:$H$106)</f>
        <v>42</v>
      </c>
      <c r="M49" s="25">
        <f>RandomSelection(SEDE!$D$5:$D$14)</f>
        <v>4</v>
      </c>
      <c r="O49" s="4" t="str">
        <f t="shared" ca="1" si="4"/>
        <v>INSERT INTO Empleado VALUES ('LUQUE GARRIGASAIT','melanie@minorisa.es','JR. FRANCIA Nº 1813 LA VICTORIA','74407845','Napoleon','641691','9985','6075','46','14','42','4');</v>
      </c>
      <c r="AH49" s="20"/>
    </row>
    <row r="50" spans="2:34" ht="15.75" customHeight="1" x14ac:dyDescent="0.25">
      <c r="B50" s="28" t="s">
        <v>432</v>
      </c>
      <c r="C50" s="32" t="s">
        <v>223</v>
      </c>
      <c r="D50" s="31" t="s">
        <v>277</v>
      </c>
      <c r="E50" s="23">
        <f t="shared" ca="1" si="0"/>
        <v>74138850</v>
      </c>
      <c r="F50" s="32" t="s">
        <v>156</v>
      </c>
      <c r="G50" s="23">
        <f t="shared" ca="1" si="1"/>
        <v>795261</v>
      </c>
      <c r="H50" s="23">
        <f t="shared" ca="1" si="2"/>
        <v>5388</v>
      </c>
      <c r="I50" s="47">
        <f t="shared" ca="1" si="3"/>
        <v>1579</v>
      </c>
      <c r="J50" s="23">
        <v>47</v>
      </c>
      <c r="K50" s="30">
        <f>RandomSelection(AREA!$D$5:$D$22)</f>
        <v>16</v>
      </c>
      <c r="L50">
        <f>RandomSelection(RENDIMIENTO!$H$7:$H$106)</f>
        <v>11</v>
      </c>
      <c r="M50" s="25">
        <f>RandomSelection(SEDE!$D$5:$D$14)</f>
        <v>4</v>
      </c>
      <c r="O50" s="4" t="str">
        <f t="shared" ca="1" si="4"/>
        <v>INSERT INTO Empleado VALUES ('RIDÓ GÓMEZ','melquíades@hotmail.com','JR. JR. BELAUNDE OESTE 198 URB. HUAQUILLAY','74138850','Orondo','795261','5388','1579','47','16','11','4');</v>
      </c>
      <c r="AH50" s="20"/>
    </row>
    <row r="51" spans="2:34" ht="15.75" customHeight="1" x14ac:dyDescent="0.25">
      <c r="B51" s="28" t="s">
        <v>433</v>
      </c>
      <c r="C51" s="32" t="s">
        <v>224</v>
      </c>
      <c r="D51" s="31" t="s">
        <v>265</v>
      </c>
      <c r="E51" s="23">
        <f t="shared" ca="1" si="0"/>
        <v>43032100</v>
      </c>
      <c r="F51" s="32" t="s">
        <v>157</v>
      </c>
      <c r="G51" s="23">
        <f t="shared" ca="1" si="1"/>
        <v>367957</v>
      </c>
      <c r="H51" s="23">
        <f t="shared" ca="1" si="2"/>
        <v>4855</v>
      </c>
      <c r="I51" s="47">
        <f t="shared" ca="1" si="3"/>
        <v>8101</v>
      </c>
      <c r="J51" s="23">
        <v>48</v>
      </c>
      <c r="K51" s="30">
        <f>RandomSelection(AREA!$D$5:$D$22)</f>
        <v>16</v>
      </c>
      <c r="L51">
        <f>RandomSelection(RENDIMIENTO!$H$7:$H$106)</f>
        <v>83</v>
      </c>
      <c r="M51" s="25">
        <f>RandomSelection(SEDE!$D$5:$D$14)</f>
        <v>4</v>
      </c>
      <c r="O51" s="4" t="str">
        <f t="shared" ca="1" si="4"/>
        <v>INSERT INTO Empleado VALUES ('SANTAMARIA FLOTATS','merche@terra.es','JR. RIO TUMBES 215 URB. LAS MORAS','43032100','Papagayo','367957','4855','8101','48','16','83','4');</v>
      </c>
      <c r="AH51" s="20"/>
    </row>
    <row r="52" spans="2:34" ht="15.75" customHeight="1" x14ac:dyDescent="0.25">
      <c r="B52" s="28" t="s">
        <v>434</v>
      </c>
      <c r="C52" s="32" t="s">
        <v>225</v>
      </c>
      <c r="D52" s="31" t="s">
        <v>275</v>
      </c>
      <c r="E52" s="23">
        <f t="shared" ca="1" si="0"/>
        <v>30801948</v>
      </c>
      <c r="F52" s="32" t="s">
        <v>158</v>
      </c>
      <c r="G52" s="23">
        <f t="shared" ca="1" si="1"/>
        <v>536737</v>
      </c>
      <c r="H52" s="23">
        <f t="shared" ca="1" si="2"/>
        <v>7889</v>
      </c>
      <c r="I52" s="47">
        <f t="shared" ca="1" si="3"/>
        <v>2634</v>
      </c>
      <c r="J52" s="23">
        <v>49</v>
      </c>
      <c r="K52" s="30">
        <f>RandomSelection(AREA!$D$5:$D$22)</f>
        <v>4</v>
      </c>
      <c r="L52">
        <f>RandomSelection(RENDIMIENTO!$H$7:$H$106)</f>
        <v>73</v>
      </c>
      <c r="M52" s="25">
        <f>RandomSelection(SEDE!$D$5:$D$14)</f>
        <v>8</v>
      </c>
      <c r="O52" s="4" t="str">
        <f t="shared" ca="1" si="4"/>
        <v>INSERT INTO Empleado VALUES ('HERMS GÓMEZ','midas@cataloniamail.com','CALLE COMANDANTE JIMENEZ 150','30801948','Paseante','536737','7889','2634','49','4','73','8');</v>
      </c>
      <c r="AH52" s="20"/>
    </row>
    <row r="53" spans="2:34" ht="15.75" customHeight="1" x14ac:dyDescent="0.25">
      <c r="B53" s="28" t="s">
        <v>435</v>
      </c>
      <c r="C53" s="32" t="s">
        <v>226</v>
      </c>
      <c r="D53" s="31" t="s">
        <v>265</v>
      </c>
      <c r="E53" s="23">
        <f t="shared" ca="1" si="0"/>
        <v>20458463</v>
      </c>
      <c r="F53" s="32" t="s">
        <v>159</v>
      </c>
      <c r="G53" s="23">
        <f t="shared" ca="1" si="1"/>
        <v>292176</v>
      </c>
      <c r="H53" s="23">
        <f t="shared" ca="1" si="2"/>
        <v>7546</v>
      </c>
      <c r="I53" s="47">
        <f t="shared" ca="1" si="3"/>
        <v>1941</v>
      </c>
      <c r="J53" s="23">
        <v>50</v>
      </c>
      <c r="K53" s="30">
        <f>RandomSelection(AREA!$D$5:$D$22)</f>
        <v>12</v>
      </c>
      <c r="L53">
        <f>RandomSelection(RENDIMIENTO!$H$7:$H$106)</f>
        <v>41</v>
      </c>
      <c r="M53" s="25">
        <f>RandomSelection(SEDE!$D$5:$D$14)</f>
        <v>2</v>
      </c>
      <c r="O53" s="4" t="str">
        <f t="shared" ca="1" si="4"/>
        <v>INSERT INTO Empleado VALUES ('ARTIGAS MATURANO','mona lisa@minorisa.es','JR. RIO TUMBES 215 URB. LAS MORAS','20458463','Pasión','292176','7546','1941','50','12','41','2');</v>
      </c>
      <c r="AH53" s="20"/>
    </row>
    <row r="54" spans="2:34" ht="15.75" customHeight="1" x14ac:dyDescent="0.25">
      <c r="B54" s="28" t="s">
        <v>436</v>
      </c>
      <c r="C54" s="32" t="s">
        <v>227</v>
      </c>
      <c r="D54" s="31" t="s">
        <v>278</v>
      </c>
      <c r="E54" s="23">
        <f t="shared" ca="1" si="0"/>
        <v>47951108</v>
      </c>
      <c r="F54" s="32" t="s">
        <v>160</v>
      </c>
      <c r="G54" s="23">
        <f t="shared" ca="1" si="1"/>
        <v>391935</v>
      </c>
      <c r="H54" s="23">
        <f t="shared" ca="1" si="2"/>
        <v>5231</v>
      </c>
      <c r="I54" s="47">
        <f t="shared" ca="1" si="3"/>
        <v>7530</v>
      </c>
      <c r="J54" s="23">
        <v>51</v>
      </c>
      <c r="K54" s="30">
        <f>RandomSelection(AREA!$D$5:$D$22)</f>
        <v>14</v>
      </c>
      <c r="L54">
        <f>RandomSelection(RENDIMIENTO!$H$7:$H$106)</f>
        <v>61</v>
      </c>
      <c r="M54" s="25">
        <f>RandomSelection(SEDE!$D$5:$D$14)</f>
        <v>3</v>
      </c>
      <c r="O54" s="4" t="str">
        <f t="shared" ca="1" si="4"/>
        <v>INSERT INTO Empleado VALUES ('AGUILAR MASANA','moro@minorisa.es','CALLE SEBASTIAN SALAZAR BONDY NRO. 151 URB. JACARANDA MAGDALENA DEL MAR','47951108','Pato','391935','5231','7530','51','14','61','3');</v>
      </c>
      <c r="AH54" s="20"/>
    </row>
    <row r="55" spans="2:34" ht="15.75" customHeight="1" x14ac:dyDescent="0.25">
      <c r="B55" s="28" t="s">
        <v>437</v>
      </c>
      <c r="C55" s="32" t="s">
        <v>228</v>
      </c>
      <c r="D55" s="31" t="s">
        <v>279</v>
      </c>
      <c r="E55" s="23">
        <f t="shared" ca="1" si="0"/>
        <v>14002982</v>
      </c>
      <c r="F55" s="32" t="s">
        <v>161</v>
      </c>
      <c r="G55" s="23">
        <f t="shared" ca="1" si="1"/>
        <v>377236</v>
      </c>
      <c r="H55" s="23">
        <f t="shared" ca="1" si="2"/>
        <v>9354</v>
      </c>
      <c r="I55" s="47">
        <f t="shared" ca="1" si="3"/>
        <v>5687</v>
      </c>
      <c r="J55" s="23">
        <v>52</v>
      </c>
      <c r="K55" s="30">
        <f>RandomSelection(AREA!$D$5:$D$22)</f>
        <v>2</v>
      </c>
      <c r="L55">
        <f>RandomSelection(RENDIMIENTO!$H$7:$H$106)</f>
        <v>92</v>
      </c>
      <c r="M55" s="25">
        <f>RandomSelection(SEDE!$D$5:$D$14)</f>
        <v>10</v>
      </c>
      <c r="O55" s="4" t="str">
        <f t="shared" ca="1" si="4"/>
        <v>INSERT INTO Empleado VALUES ('ALTIMIRAS SERAROLS','mozart@wandoo.es','AV. JOSE PARDO 434 DPTO. 405','14002982','Pelusa','377236','9354','5687','52','2','92','10');</v>
      </c>
      <c r="AH55" s="20"/>
    </row>
    <row r="56" spans="2:34" ht="15.75" customHeight="1" x14ac:dyDescent="0.25">
      <c r="B56" s="28" t="s">
        <v>438</v>
      </c>
      <c r="C56" s="32" t="s">
        <v>229</v>
      </c>
      <c r="D56" s="31" t="s">
        <v>280</v>
      </c>
      <c r="E56" s="23">
        <f t="shared" ca="1" si="0"/>
        <v>34477043</v>
      </c>
      <c r="F56" s="32" t="s">
        <v>162</v>
      </c>
      <c r="G56" s="23">
        <f t="shared" ca="1" si="1"/>
        <v>342870</v>
      </c>
      <c r="H56" s="23">
        <f t="shared" ca="1" si="2"/>
        <v>4112</v>
      </c>
      <c r="I56" s="47">
        <f t="shared" ca="1" si="3"/>
        <v>7133</v>
      </c>
      <c r="J56" s="23">
        <v>53</v>
      </c>
      <c r="K56" s="30">
        <f>RandomSelection(AREA!$D$5:$D$22)</f>
        <v>17</v>
      </c>
      <c r="L56">
        <f>RandomSelection(RENDIMIENTO!$H$7:$H$106)</f>
        <v>36</v>
      </c>
      <c r="M56" s="25">
        <f>RandomSelection(SEDE!$D$5:$D$14)</f>
        <v>10</v>
      </c>
      <c r="O56" s="4" t="str">
        <f t="shared" ca="1" si="4"/>
        <v>INSERT INTO Empleado VALUES ('TORRESCASANA GARCIA','napoleon@cidet.com','CALLE PALCA NRO. 172 INT. 201 (EDIFICIO CHINCHA 2DO PISO) LIMA - LIMA - LIMA','34477043','Perla','342870','4112','7133','53','17','36','10');</v>
      </c>
      <c r="AH56" s="20"/>
    </row>
    <row r="57" spans="2:34" ht="15.75" customHeight="1" x14ac:dyDescent="0.25">
      <c r="B57" s="28" t="s">
        <v>439</v>
      </c>
      <c r="C57" s="32" t="s">
        <v>230</v>
      </c>
      <c r="D57" s="31" t="s">
        <v>281</v>
      </c>
      <c r="E57" s="23">
        <f t="shared" ca="1" si="0"/>
        <v>13765127</v>
      </c>
      <c r="F57" s="32" t="s">
        <v>163</v>
      </c>
      <c r="G57" s="23">
        <f t="shared" ca="1" si="1"/>
        <v>426912</v>
      </c>
      <c r="H57" s="23">
        <f t="shared" ca="1" si="2"/>
        <v>3563</v>
      </c>
      <c r="I57" s="47">
        <f t="shared" ca="1" si="3"/>
        <v>2515</v>
      </c>
      <c r="J57" s="23">
        <v>54</v>
      </c>
      <c r="K57" s="30">
        <f>RandomSelection(AREA!$D$5:$D$22)</f>
        <v>6</v>
      </c>
      <c r="L57">
        <f>RandomSelection(RENDIMIENTO!$H$7:$H$106)</f>
        <v>72</v>
      </c>
      <c r="M57" s="25">
        <f>RandomSelection(SEDE!$D$5:$D$14)</f>
        <v>10</v>
      </c>
      <c r="O57" s="4" t="str">
        <f t="shared" ca="1" si="4"/>
        <v>INSERT INTO Empleado VALUES ('ARIZA PUIGBÓ','orondo@altecom.es','AV. SAN BORJA NORTE 421 DPTO 201','13765127','Picasso','426912','3563','2515','54','6','72','10');</v>
      </c>
      <c r="AH57" s="20"/>
    </row>
    <row r="58" spans="2:34" ht="15.75" customHeight="1" x14ac:dyDescent="0.25">
      <c r="B58" s="28" t="s">
        <v>440</v>
      </c>
      <c r="C58" s="32" t="s">
        <v>231</v>
      </c>
      <c r="D58" s="31" t="s">
        <v>4</v>
      </c>
      <c r="E58" s="23">
        <f t="shared" ca="1" si="0"/>
        <v>42431517</v>
      </c>
      <c r="F58" s="32" t="s">
        <v>164</v>
      </c>
      <c r="G58" s="23">
        <f t="shared" ca="1" si="1"/>
        <v>948324</v>
      </c>
      <c r="H58" s="23">
        <f t="shared" ca="1" si="2"/>
        <v>8033</v>
      </c>
      <c r="I58" s="47">
        <f t="shared" ca="1" si="3"/>
        <v>4940</v>
      </c>
      <c r="J58" s="23">
        <v>55</v>
      </c>
      <c r="K58" s="30">
        <f>RandomSelection(AREA!$D$5:$D$22)</f>
        <v>1</v>
      </c>
      <c r="L58">
        <f>RandomSelection(RENDIMIENTO!$H$7:$H$106)</f>
        <v>83</v>
      </c>
      <c r="M58" s="25">
        <f>RandomSelection(SEDE!$D$5:$D$14)</f>
        <v>3</v>
      </c>
      <c r="O58" s="4" t="str">
        <f t="shared" ca="1" si="4"/>
        <v>INSERT INTO Empleado VALUES ('ALVAREZ ARMENTEROS','papagayo@altecom.es','CALLE ROMA 371 - 375','42431517','poma','948324','8033','4940','55','1','83','3');</v>
      </c>
      <c r="AH58" s="20"/>
    </row>
    <row r="59" spans="2:34" ht="15.75" customHeight="1" x14ac:dyDescent="0.25">
      <c r="B59" s="28" t="s">
        <v>441</v>
      </c>
      <c r="C59" s="32" t="s">
        <v>232</v>
      </c>
      <c r="D59" s="31" t="s">
        <v>8</v>
      </c>
      <c r="E59" s="23">
        <f t="shared" ca="1" si="0"/>
        <v>35435844</v>
      </c>
      <c r="F59" s="32" t="s">
        <v>165</v>
      </c>
      <c r="G59" s="23">
        <f t="shared" ca="1" si="1"/>
        <v>498133</v>
      </c>
      <c r="H59" s="23">
        <f t="shared" ca="1" si="2"/>
        <v>1430</v>
      </c>
      <c r="I59" s="47">
        <f t="shared" ca="1" si="3"/>
        <v>7426</v>
      </c>
      <c r="J59" s="23">
        <v>56</v>
      </c>
      <c r="K59" s="30">
        <f>RandomSelection(AREA!$D$5:$D$22)</f>
        <v>14</v>
      </c>
      <c r="L59">
        <f>RandomSelection(RENDIMIENTO!$H$7:$H$106)</f>
        <v>63</v>
      </c>
      <c r="M59" s="25">
        <f>RandomSelection(SEDE!$D$5:$D$14)</f>
        <v>5</v>
      </c>
      <c r="O59" s="4" t="str">
        <f t="shared" ca="1" si="4"/>
        <v>INSERT INTO Empleado VALUES ('BARALDÉS TARRAGÓ','pasión@altecom.es','AV. PASEO DE LA REPUBLICA 291 INT. 1803','35435844','Psicosis','498133','1430','7426','56','14','63','5');</v>
      </c>
      <c r="AH59" s="20"/>
    </row>
    <row r="60" spans="2:34" ht="15.75" customHeight="1" x14ac:dyDescent="0.25">
      <c r="B60" s="28" t="s">
        <v>442</v>
      </c>
      <c r="C60" s="32" t="s">
        <v>233</v>
      </c>
      <c r="D60" s="31" t="s">
        <v>11</v>
      </c>
      <c r="E60" s="23">
        <f t="shared" ca="1" si="0"/>
        <v>81433782</v>
      </c>
      <c r="F60" s="32" t="s">
        <v>166</v>
      </c>
      <c r="G60" s="23">
        <f t="shared" ca="1" si="1"/>
        <v>599108</v>
      </c>
      <c r="H60" s="23">
        <f t="shared" ca="1" si="2"/>
        <v>9895</v>
      </c>
      <c r="I60" s="47">
        <f t="shared" ca="1" si="3"/>
        <v>6822</v>
      </c>
      <c r="J60" s="23">
        <v>57</v>
      </c>
      <c r="K60" s="30">
        <f>RandomSelection(AREA!$D$5:$D$22)</f>
        <v>3</v>
      </c>
      <c r="L60">
        <f>RandomSelection(RENDIMIENTO!$H$7:$H$106)</f>
        <v>12</v>
      </c>
      <c r="M60" s="25">
        <f>RandomSelection(SEDE!$D$5:$D$14)</f>
        <v>8</v>
      </c>
      <c r="O60" s="4" t="str">
        <f t="shared" ca="1" si="4"/>
        <v>INSERT INTO Empleado VALUES ('GARCIA GARCÍA','pelusa@hotmail.com','CALLE RAMON RIBEYRO 264 URB. SAN ANTONIO','81433782','Quince centimos','599108','9895','6822','57','3','12','8');</v>
      </c>
      <c r="AH60" s="20"/>
    </row>
    <row r="61" spans="2:34" ht="15.75" customHeight="1" x14ac:dyDescent="0.25">
      <c r="B61" s="28" t="s">
        <v>443</v>
      </c>
      <c r="C61" s="32" t="s">
        <v>234</v>
      </c>
      <c r="D61" s="31" t="s">
        <v>14</v>
      </c>
      <c r="E61" s="23">
        <f t="shared" ca="1" si="0"/>
        <v>27348059</v>
      </c>
      <c r="F61" s="32" t="s">
        <v>167</v>
      </c>
      <c r="G61" s="23">
        <f t="shared" ca="1" si="1"/>
        <v>656161</v>
      </c>
      <c r="H61" s="23">
        <f t="shared" ca="1" si="2"/>
        <v>3816</v>
      </c>
      <c r="I61" s="47">
        <f t="shared" ca="1" si="3"/>
        <v>2322</v>
      </c>
      <c r="J61" s="23">
        <v>58</v>
      </c>
      <c r="K61" s="30">
        <f>RandomSelection(AREA!$D$5:$D$22)</f>
        <v>2</v>
      </c>
      <c r="L61">
        <f>RandomSelection(RENDIMIENTO!$H$7:$H$106)</f>
        <v>79</v>
      </c>
      <c r="M61" s="25">
        <f>RandomSelection(SEDE!$D$5:$D$14)</f>
        <v>8</v>
      </c>
      <c r="O61" s="4" t="str">
        <f t="shared" ca="1" si="4"/>
        <v>INSERT INTO Empleado VALUES ('AROCA GÓMEZ','perla@cataloniamail.com','AV. SANTA CATALINA 529 - LA VICTORIA','27348059','Rebeca','656161','3816','2322','58','2','79','8');</v>
      </c>
      <c r="AH61" s="20"/>
    </row>
    <row r="62" spans="2:34" ht="15.75" customHeight="1" x14ac:dyDescent="0.25">
      <c r="B62" s="28" t="s">
        <v>444</v>
      </c>
      <c r="C62" s="32" t="s">
        <v>235</v>
      </c>
      <c r="D62" s="31" t="s">
        <v>18</v>
      </c>
      <c r="E62" s="23">
        <f t="shared" ca="1" si="0"/>
        <v>70819525</v>
      </c>
      <c r="F62" s="32" t="s">
        <v>168</v>
      </c>
      <c r="G62" s="23">
        <f t="shared" ca="1" si="1"/>
        <v>630496</v>
      </c>
      <c r="H62" s="23">
        <f t="shared" ca="1" si="2"/>
        <v>8015</v>
      </c>
      <c r="I62" s="47">
        <f t="shared" ca="1" si="3"/>
        <v>8714</v>
      </c>
      <c r="J62" s="23">
        <v>59</v>
      </c>
      <c r="K62" s="30">
        <f>RandomSelection(AREA!$D$5:$D$22)</f>
        <v>13</v>
      </c>
      <c r="L62">
        <f>RandomSelection(RENDIMIENTO!$H$7:$H$106)</f>
        <v>71</v>
      </c>
      <c r="M62" s="25">
        <f>RandomSelection(SEDE!$D$5:$D$14)</f>
        <v>5</v>
      </c>
      <c r="O62" s="4" t="str">
        <f t="shared" ca="1" si="4"/>
        <v>INSERT INTO Empleado VALUES ('ALONSO RODRIGUEZ','psicosis@intercom.es','AV. SANTO TORIBIO 143 (6TO. PISO) EDIFICIO STO. TORIBIO','70819525','Rebelde','630496','8015','8714','59','13','71','5');</v>
      </c>
      <c r="AH62" s="20"/>
    </row>
    <row r="63" spans="2:34" ht="15.75" customHeight="1" x14ac:dyDescent="0.25">
      <c r="B63" s="28" t="s">
        <v>445</v>
      </c>
      <c r="C63" s="32" t="s">
        <v>236</v>
      </c>
      <c r="D63" s="31" t="s">
        <v>21</v>
      </c>
      <c r="E63" s="23">
        <f t="shared" ca="1" si="0"/>
        <v>93513736</v>
      </c>
      <c r="F63" s="32" t="s">
        <v>169</v>
      </c>
      <c r="G63" s="23">
        <f t="shared" ca="1" si="1"/>
        <v>861515</v>
      </c>
      <c r="H63" s="23">
        <f t="shared" ca="1" si="2"/>
        <v>6200</v>
      </c>
      <c r="I63" s="47">
        <f t="shared" ca="1" si="3"/>
        <v>2760</v>
      </c>
      <c r="J63" s="23">
        <v>60</v>
      </c>
      <c r="K63" s="30">
        <f>RandomSelection(AREA!$D$5:$D$22)</f>
        <v>11</v>
      </c>
      <c r="L63">
        <f>RandomSelection(RENDIMIENTO!$H$7:$H$106)</f>
        <v>76</v>
      </c>
      <c r="M63" s="25">
        <f>RandomSelection(SEDE!$D$5:$D$14)</f>
        <v>5</v>
      </c>
      <c r="O63" s="4" t="str">
        <f t="shared" ca="1" si="4"/>
        <v>INSERT INTO Empleado VALUES ('CANO GÓMEZ','rebeca@cataloniamail.com','JR. CARABAYA 560 OF. 04 (2DO. PISO)','93513736','Recio','861515','6200','2760','60','11','76','5');</v>
      </c>
      <c r="AH63" s="20"/>
    </row>
    <row r="64" spans="2:34" ht="15.75" customHeight="1" x14ac:dyDescent="0.25">
      <c r="B64" s="28" t="s">
        <v>446</v>
      </c>
      <c r="C64" s="32" t="s">
        <v>237</v>
      </c>
      <c r="D64" s="31" t="s">
        <v>21</v>
      </c>
      <c r="E64" s="23">
        <f t="shared" ca="1" si="0"/>
        <v>39114733</v>
      </c>
      <c r="F64" s="32" t="s">
        <v>170</v>
      </c>
      <c r="G64" s="23">
        <f t="shared" ca="1" si="1"/>
        <v>229124</v>
      </c>
      <c r="H64" s="23">
        <f t="shared" ca="1" si="2"/>
        <v>3370</v>
      </c>
      <c r="I64" s="47">
        <f t="shared" ca="1" si="3"/>
        <v>7209</v>
      </c>
      <c r="J64" s="23">
        <v>61</v>
      </c>
      <c r="K64" s="30">
        <f>RandomSelection(AREA!$D$5:$D$22)</f>
        <v>16</v>
      </c>
      <c r="L64">
        <f>RandomSelection(RENDIMIENTO!$H$7:$H$106)</f>
        <v>100</v>
      </c>
      <c r="M64" s="25">
        <f>RandomSelection(SEDE!$D$5:$D$14)</f>
        <v>8</v>
      </c>
      <c r="O64" s="4" t="str">
        <f t="shared" ca="1" si="4"/>
        <v>INSERT INTO Empleado VALUES ('ALCAIDE MOLINA','rebelde@intercom.es','JR. CARABAYA 560 OF. 04 (2DO. PISO)','39114733','Recital','229124','3370','7209','61','16','100','8');</v>
      </c>
      <c r="AH64" s="20"/>
    </row>
    <row r="65" spans="2:34" ht="15.75" customHeight="1" x14ac:dyDescent="0.25">
      <c r="B65" s="28" t="s">
        <v>447</v>
      </c>
      <c r="C65" s="32" t="s">
        <v>238</v>
      </c>
      <c r="D65" s="31" t="s">
        <v>27</v>
      </c>
      <c r="E65" s="23">
        <f t="shared" ca="1" si="0"/>
        <v>46534839</v>
      </c>
      <c r="F65" s="32" t="s">
        <v>171</v>
      </c>
      <c r="G65" s="23">
        <f t="shared" ca="1" si="1"/>
        <v>238845</v>
      </c>
      <c r="H65" s="23">
        <f t="shared" ca="1" si="2"/>
        <v>4079</v>
      </c>
      <c r="I65" s="47">
        <f t="shared" ca="1" si="3"/>
        <v>2820</v>
      </c>
      <c r="J65" s="23">
        <v>62</v>
      </c>
      <c r="K65" s="30">
        <f>RandomSelection(AREA!$D$5:$D$22)</f>
        <v>12</v>
      </c>
      <c r="L65">
        <f>RandomSelection(RENDIMIENTO!$H$7:$H$106)</f>
        <v>84</v>
      </c>
      <c r="M65" s="25">
        <f>RandomSelection(SEDE!$D$5:$D$14)</f>
        <v>5</v>
      </c>
      <c r="O65" s="4" t="str">
        <f t="shared" ca="1" si="4"/>
        <v>INSERT INTO Empleado VALUES ('AGUILERA PRAT','rene@intercom.es','CALLE ALCALA 350 - URB. LA CASTELLANA (OVALO HIGUERETA)','46534839','Rene','238845','4079','2820','62','12','84','5');</v>
      </c>
      <c r="AH65" s="20"/>
    </row>
    <row r="66" spans="2:34" ht="15.75" customHeight="1" x14ac:dyDescent="0.25">
      <c r="B66" s="28" t="s">
        <v>448</v>
      </c>
      <c r="C66" s="32" t="s">
        <v>239</v>
      </c>
      <c r="D66" s="31" t="s">
        <v>30</v>
      </c>
      <c r="E66" s="23">
        <f t="shared" ca="1" si="0"/>
        <v>27749963</v>
      </c>
      <c r="F66" s="32" t="s">
        <v>172</v>
      </c>
      <c r="G66" s="23">
        <f t="shared" ca="1" si="1"/>
        <v>828394</v>
      </c>
      <c r="H66" s="23">
        <f t="shared" ca="1" si="2"/>
        <v>2052</v>
      </c>
      <c r="I66" s="47">
        <f t="shared" ca="1" si="3"/>
        <v>8087</v>
      </c>
      <c r="J66" s="23">
        <v>63</v>
      </c>
      <c r="K66" s="30">
        <f>RandomSelection(AREA!$D$5:$D$22)</f>
        <v>18</v>
      </c>
      <c r="L66">
        <f>RandomSelection(RENDIMIENTO!$H$7:$H$106)</f>
        <v>6</v>
      </c>
      <c r="M66" s="25">
        <f>RandomSelection(SEDE!$D$5:$D$14)</f>
        <v>2</v>
      </c>
      <c r="O66" s="4" t="str">
        <f t="shared" ca="1" si="4"/>
        <v>INSERT INTO Empleado VALUES ('ALAPONT ICART','rica@terra.es','AV. JAVIER PRADO OESTE 2361','27749963','Repicó','828394','2052','8087','63','18','6','2');</v>
      </c>
      <c r="AH66" s="20"/>
    </row>
    <row r="67" spans="2:34" ht="15.75" customHeight="1" x14ac:dyDescent="0.25">
      <c r="B67" s="28" t="s">
        <v>449</v>
      </c>
      <c r="C67" s="32" t="s">
        <v>240</v>
      </c>
      <c r="D67" s="31" t="s">
        <v>33</v>
      </c>
      <c r="E67" s="23">
        <f t="shared" ca="1" si="0"/>
        <v>43692877</v>
      </c>
      <c r="F67" s="32" t="s">
        <v>173</v>
      </c>
      <c r="G67" s="23">
        <f t="shared" ca="1" si="1"/>
        <v>140798</v>
      </c>
      <c r="H67" s="23">
        <f t="shared" ca="1" si="2"/>
        <v>3874</v>
      </c>
      <c r="I67" s="47">
        <f t="shared" ca="1" si="3"/>
        <v>3870</v>
      </c>
      <c r="J67" s="23">
        <v>64</v>
      </c>
      <c r="K67" s="30">
        <f>RandomSelection(AREA!$D$5:$D$22)</f>
        <v>1</v>
      </c>
      <c r="L67">
        <f>RandomSelection(RENDIMIENTO!$H$7:$H$106)</f>
        <v>90</v>
      </c>
      <c r="M67" s="25">
        <f>RandomSelection(SEDE!$D$5:$D$14)</f>
        <v>1</v>
      </c>
      <c r="O67" s="4" t="str">
        <f t="shared" ca="1" si="4"/>
        <v>INSERT INTO Empleado VALUES ('RIVERO FLORIDO','rockera@terra.es','AV. RESIDENCIAL SALAVERRY BLOCK 1 DPTO 202','43692877','Rica','140798','3874','3870','64','1','90','1');</v>
      </c>
      <c r="AH67" s="20"/>
    </row>
    <row r="68" spans="2:34" ht="15.75" customHeight="1" x14ac:dyDescent="0.25">
      <c r="B68" s="28" t="s">
        <v>402</v>
      </c>
      <c r="C68" s="32" t="s">
        <v>241</v>
      </c>
      <c r="D68" s="31" t="s">
        <v>36</v>
      </c>
      <c r="E68" s="23">
        <f t="shared" ca="1" si="0"/>
        <v>35646401</v>
      </c>
      <c r="F68" s="32" t="s">
        <v>174</v>
      </c>
      <c r="G68" s="23">
        <f t="shared" ca="1" si="1"/>
        <v>128366</v>
      </c>
      <c r="H68" s="23">
        <f t="shared" ca="1" si="2"/>
        <v>2644</v>
      </c>
      <c r="I68" s="47">
        <f t="shared" ca="1" si="3"/>
        <v>4424</v>
      </c>
      <c r="J68" s="23">
        <v>65</v>
      </c>
      <c r="K68" s="30">
        <f>RandomSelection(AREA!$D$5:$D$22)</f>
        <v>13</v>
      </c>
      <c r="L68">
        <f>RandomSelection(RENDIMIENTO!$H$7:$H$106)</f>
        <v>32</v>
      </c>
      <c r="M68" s="25">
        <f>RandomSelection(SEDE!$D$5:$D$14)</f>
        <v>1</v>
      </c>
      <c r="O68" s="4" t="str">
        <f t="shared" ca="1" si="4"/>
        <v>INSERT INTO Empleado VALUES ('AVILA MASJUAN','roman@wandoo.es','CALLE ANTEQUERA 176 OF. 302','35646401','Rockera','128366','2644','4424','65','13','32','1');</v>
      </c>
      <c r="AH68" s="20"/>
    </row>
    <row r="69" spans="2:34" ht="15.75" customHeight="1" x14ac:dyDescent="0.25">
      <c r="B69" s="28" t="s">
        <v>450</v>
      </c>
      <c r="C69" s="32" t="s">
        <v>242</v>
      </c>
      <c r="D69" s="31" t="s">
        <v>40</v>
      </c>
      <c r="E69" s="23">
        <f t="shared" ref="E69:E91" ca="1" si="5">RANDBETWEEN(10000000,99999999)</f>
        <v>47896334</v>
      </c>
      <c r="F69" s="32" t="s">
        <v>175</v>
      </c>
      <c r="G69" s="23">
        <f t="shared" ref="G69:G91" ca="1" si="6">RANDBETWEEN(100000,999999)</f>
        <v>926446</v>
      </c>
      <c r="H69" s="23">
        <f t="shared" ref="H69:H91" ca="1" si="7">RANDBETWEEN(1000,9999)</f>
        <v>6780</v>
      </c>
      <c r="I69" s="47">
        <f t="shared" ref="I69:I91" ca="1" si="8">RANDBETWEEN(1000,9000)</f>
        <v>4682</v>
      </c>
      <c r="J69" s="23">
        <v>66</v>
      </c>
      <c r="K69" s="30">
        <f>RandomSelection(AREA!$D$5:$D$22)</f>
        <v>18</v>
      </c>
      <c r="L69">
        <f>RandomSelection(RENDIMIENTO!$H$7:$H$106)</f>
        <v>68</v>
      </c>
      <c r="M69" s="25">
        <f>RandomSelection(SEDE!$D$5:$D$14)</f>
        <v>10</v>
      </c>
      <c r="O69" s="4" t="str">
        <f t="shared" ref="O69:O91" ca="1" si="9">"INSERT INTO Empleado VALUES ('"&amp;B69&amp;"','"&amp;C69&amp;"','"&amp;D69&amp;"','"&amp;E69&amp;"','"&amp;F69&amp;"','"&amp;G69&amp;"','"&amp;H69&amp;"','"&amp;I69&amp;"','"&amp;J69&amp;"','"&amp;K69&amp;"','"&amp;L69&amp;"','"&amp;M69&amp;"');"</f>
        <v>INSERT INTO Empleado VALUES ('GRANADOS ANDRÉS','romeo@intercom.es','URB. VILLA VICTORIA MZ.I - LT.8 (DEPARTAMENTO 301)','47896334','Roma','926446','6780','4682','66','18','68','10');</v>
      </c>
      <c r="AH69" s="20"/>
    </row>
    <row r="70" spans="2:34" ht="15.75" customHeight="1" x14ac:dyDescent="0.25">
      <c r="B70" s="28" t="s">
        <v>451</v>
      </c>
      <c r="C70" s="32" t="s">
        <v>243</v>
      </c>
      <c r="D70" s="31" t="s">
        <v>44</v>
      </c>
      <c r="E70" s="23">
        <f t="shared" ca="1" si="5"/>
        <v>37100215</v>
      </c>
      <c r="F70" s="32" t="s">
        <v>176</v>
      </c>
      <c r="G70" s="23">
        <f t="shared" ca="1" si="6"/>
        <v>286654</v>
      </c>
      <c r="H70" s="23">
        <f t="shared" ca="1" si="7"/>
        <v>9918</v>
      </c>
      <c r="I70" s="47">
        <f t="shared" ca="1" si="8"/>
        <v>6164</v>
      </c>
      <c r="J70" s="23">
        <v>67</v>
      </c>
      <c r="K70" s="30">
        <f>RandomSelection(AREA!$D$5:$D$22)</f>
        <v>12</v>
      </c>
      <c r="L70">
        <f>RandomSelection(RENDIMIENTO!$H$7:$H$106)</f>
        <v>74</v>
      </c>
      <c r="M70" s="25">
        <f>RandomSelection(SEDE!$D$5:$D$14)</f>
        <v>5</v>
      </c>
      <c r="O70" s="4" t="str">
        <f t="shared" ca="1" si="9"/>
        <v>INSERT INTO Empleado VALUES ('FERRER GASSET','ronc@cataloniamail.com','CALLE CORONEL ANDRES REYES NRO. 360 INT. 703 URB. JARDIN','37100215','Roman','286654','9918','6164','67','12','74','5');</v>
      </c>
      <c r="AH70" s="20"/>
    </row>
    <row r="71" spans="2:34" ht="15.75" customHeight="1" x14ac:dyDescent="0.25">
      <c r="B71" s="28" t="s">
        <v>452</v>
      </c>
      <c r="C71" s="32" t="s">
        <v>244</v>
      </c>
      <c r="D71" s="31" t="s">
        <v>47</v>
      </c>
      <c r="E71" s="23">
        <f t="shared" ca="1" si="5"/>
        <v>24944843</v>
      </c>
      <c r="F71" s="32" t="s">
        <v>177</v>
      </c>
      <c r="G71" s="23">
        <f t="shared" ca="1" si="6"/>
        <v>135997</v>
      </c>
      <c r="H71" s="23">
        <f t="shared" ca="1" si="7"/>
        <v>2688</v>
      </c>
      <c r="I71" s="47">
        <f t="shared" ca="1" si="8"/>
        <v>8517</v>
      </c>
      <c r="J71" s="23">
        <v>68</v>
      </c>
      <c r="K71" s="30">
        <f>RandomSelection(AREA!$D$5:$D$22)</f>
        <v>17</v>
      </c>
      <c r="L71">
        <f>RandomSelection(RENDIMIENTO!$H$7:$H$106)</f>
        <v>22</v>
      </c>
      <c r="M71" s="25">
        <f>RandomSelection(SEDE!$D$5:$D$14)</f>
        <v>7</v>
      </c>
      <c r="O71" s="4" t="str">
        <f t="shared" ca="1" si="9"/>
        <v>INSERT INTO Empleado VALUES ('AMIGO MODREGO','sabrosa@hotmail.com','CALLE PAZ SOLDAN 170 OF. 205','24944843','Romario','135997','2688','8517','68','17','22','7');</v>
      </c>
      <c r="AH71" s="20"/>
    </row>
    <row r="72" spans="2:34" ht="15.75" customHeight="1" x14ac:dyDescent="0.25">
      <c r="B72" s="28" t="s">
        <v>453</v>
      </c>
      <c r="C72" s="32" t="s">
        <v>245</v>
      </c>
      <c r="D72" s="31" t="s">
        <v>47</v>
      </c>
      <c r="E72" s="23">
        <f t="shared" ca="1" si="5"/>
        <v>66620453</v>
      </c>
      <c r="F72" s="32" t="s">
        <v>178</v>
      </c>
      <c r="G72" s="23">
        <f t="shared" ca="1" si="6"/>
        <v>588412</v>
      </c>
      <c r="H72" s="23">
        <f t="shared" ca="1" si="7"/>
        <v>2458</v>
      </c>
      <c r="I72" s="47">
        <f t="shared" ca="1" si="8"/>
        <v>3018</v>
      </c>
      <c r="J72" s="23">
        <v>69</v>
      </c>
      <c r="K72" s="30">
        <f>RandomSelection(AREA!$D$5:$D$22)</f>
        <v>16</v>
      </c>
      <c r="L72">
        <f>RandomSelection(RENDIMIENTO!$H$7:$H$106)</f>
        <v>30</v>
      </c>
      <c r="M72" s="25">
        <f>RandomSelection(SEDE!$D$5:$D$14)</f>
        <v>9</v>
      </c>
      <c r="O72" s="4" t="str">
        <f t="shared" ca="1" si="9"/>
        <v>INSERT INTO Empleado VALUES ('ABDIN TATJÈ','salsa@cataloniamail.com','CALLE PAZ SOLDAN 170 OF. 205','66620453','Romeo','588412','2458','3018','69','16','30','9');</v>
      </c>
      <c r="AH72" s="20"/>
    </row>
    <row r="73" spans="2:34" ht="15.75" customHeight="1" x14ac:dyDescent="0.25">
      <c r="B73" s="28" t="s">
        <v>454</v>
      </c>
      <c r="C73" s="32" t="s">
        <v>246</v>
      </c>
      <c r="D73" s="31" t="s">
        <v>53</v>
      </c>
      <c r="E73" s="23">
        <f t="shared" ca="1" si="5"/>
        <v>37452308</v>
      </c>
      <c r="F73" s="32" t="s">
        <v>179</v>
      </c>
      <c r="G73" s="23">
        <f t="shared" ca="1" si="6"/>
        <v>538977</v>
      </c>
      <c r="H73" s="23">
        <f t="shared" ca="1" si="7"/>
        <v>7403</v>
      </c>
      <c r="I73" s="47">
        <f t="shared" ca="1" si="8"/>
        <v>1078</v>
      </c>
      <c r="J73" s="23">
        <v>70</v>
      </c>
      <c r="K73" s="30">
        <f>RandomSelection(AREA!$D$5:$D$22)</f>
        <v>9</v>
      </c>
      <c r="L73">
        <f>RandomSelection(RENDIMIENTO!$H$7:$H$106)</f>
        <v>16</v>
      </c>
      <c r="M73" s="25">
        <f>RandomSelection(SEDE!$D$5:$D$14)</f>
        <v>7</v>
      </c>
      <c r="O73" s="4" t="str">
        <f t="shared" ca="1" si="9"/>
        <v>INSERT INTO Empleado VALUES ('CANELLAS GOMEZ','sincer@altecom.es','AV. AV. IGNACIO MERINO NRO. 2422 INT. 101','37452308','Romesco','538977','7403','1078','70','9','16','7');</v>
      </c>
      <c r="AH73" s="20"/>
    </row>
    <row r="74" spans="2:34" ht="15.75" customHeight="1" x14ac:dyDescent="0.25">
      <c r="B74" s="28" t="s">
        <v>455</v>
      </c>
      <c r="C74" s="32" t="s">
        <v>247</v>
      </c>
      <c r="D74" s="31" t="s">
        <v>37</v>
      </c>
      <c r="E74" s="23">
        <f t="shared" ca="1" si="5"/>
        <v>25932749</v>
      </c>
      <c r="F74" s="32" t="s">
        <v>180</v>
      </c>
      <c r="G74" s="23">
        <f t="shared" ca="1" si="6"/>
        <v>694317</v>
      </c>
      <c r="H74" s="23">
        <f t="shared" ca="1" si="7"/>
        <v>1750</v>
      </c>
      <c r="I74" s="47">
        <f t="shared" ca="1" si="8"/>
        <v>1615</v>
      </c>
      <c r="J74" s="23">
        <v>71</v>
      </c>
      <c r="K74" s="30">
        <f>RandomSelection(AREA!$D$5:$D$22)</f>
        <v>3</v>
      </c>
      <c r="L74">
        <f>RandomSelection(RENDIMIENTO!$H$7:$H$106)</f>
        <v>18</v>
      </c>
      <c r="M74" s="25">
        <f>RandomSelection(SEDE!$D$5:$D$14)</f>
        <v>7</v>
      </c>
      <c r="O74" s="4" t="str">
        <f t="shared" ca="1" si="9"/>
        <v>INSERT INTO Empleado VALUES ('HIDALGO ALTIMIRAS','sincera@hotmail.com','AV. 28 DE JULIO NRO. 1044 DPTO. 601 URB. SAN ANTONIO','25932749','RONC','694317','1750','1615','71','3','18','7');</v>
      </c>
      <c r="AH74" s="20"/>
    </row>
    <row r="75" spans="2:34" ht="15.75" customHeight="1" x14ac:dyDescent="0.25">
      <c r="B75" s="28" t="s">
        <v>456</v>
      </c>
      <c r="C75" s="32" t="s">
        <v>248</v>
      </c>
      <c r="D75" s="31" t="s">
        <v>57</v>
      </c>
      <c r="E75" s="23">
        <f t="shared" ca="1" si="5"/>
        <v>49825454</v>
      </c>
      <c r="F75" s="32" t="s">
        <v>181</v>
      </c>
      <c r="G75" s="23">
        <f t="shared" ca="1" si="6"/>
        <v>120666</v>
      </c>
      <c r="H75" s="23">
        <f t="shared" ca="1" si="7"/>
        <v>1937</v>
      </c>
      <c r="I75" s="47">
        <f t="shared" ca="1" si="8"/>
        <v>5039</v>
      </c>
      <c r="J75" s="23">
        <v>72</v>
      </c>
      <c r="K75" s="30">
        <f>RandomSelection(AREA!$D$5:$D$22)</f>
        <v>3</v>
      </c>
      <c r="L75">
        <f>RandomSelection(RENDIMIENTO!$H$7:$H$106)</f>
        <v>74</v>
      </c>
      <c r="M75" s="25">
        <f>RandomSelection(SEDE!$D$5:$D$14)</f>
        <v>6</v>
      </c>
      <c r="O75" s="4" t="str">
        <f t="shared" ca="1" si="9"/>
        <v>INSERT INTO Empleado VALUES ('BASTARDAS FRANCH','suau@hotmail.com','CALLE MANUEL ALMENARA #265','49825454','Sabrosa','120666','1937','5039','72','3','74','6');</v>
      </c>
      <c r="AH75" s="20"/>
    </row>
    <row r="76" spans="2:34" ht="15.75" customHeight="1" x14ac:dyDescent="0.25">
      <c r="B76" s="28" t="s">
        <v>457</v>
      </c>
      <c r="C76" s="32" t="s">
        <v>250</v>
      </c>
      <c r="D76" s="31" t="s">
        <v>33</v>
      </c>
      <c r="E76" s="23">
        <f t="shared" ca="1" si="5"/>
        <v>32081740</v>
      </c>
      <c r="F76" s="32" t="s">
        <v>182</v>
      </c>
      <c r="G76" s="23">
        <f t="shared" ca="1" si="6"/>
        <v>403862</v>
      </c>
      <c r="H76" s="23">
        <f t="shared" ca="1" si="7"/>
        <v>2460</v>
      </c>
      <c r="I76" s="47">
        <f t="shared" ca="1" si="8"/>
        <v>1042</v>
      </c>
      <c r="J76" s="23">
        <v>73</v>
      </c>
      <c r="K76" s="30">
        <f>RandomSelection(AREA!$D$5:$D$22)</f>
        <v>4</v>
      </c>
      <c r="L76">
        <f>RandomSelection(RENDIMIENTO!$H$7:$H$106)</f>
        <v>93</v>
      </c>
      <c r="M76" s="25">
        <f>RandomSelection(SEDE!$D$5:$D$14)</f>
        <v>4</v>
      </c>
      <c r="O76" s="4" t="str">
        <f t="shared" ca="1" si="9"/>
        <v>INSERT INTO Empleado VALUES ('ABADIAS MASANA','superman@altecom.es','AV. RESIDENCIAL SALAVERRY BLOCK 1 DPTO 202','32081740','Salsa','403862','2460','1042','73','4','93','4');</v>
      </c>
      <c r="AH76" s="20"/>
    </row>
    <row r="77" spans="2:34" ht="15.75" customHeight="1" x14ac:dyDescent="0.25">
      <c r="B77" s="28" t="s">
        <v>458</v>
      </c>
      <c r="C77" s="32" t="s">
        <v>251</v>
      </c>
      <c r="D77" s="31" t="s">
        <v>63</v>
      </c>
      <c r="E77" s="23">
        <f t="shared" ca="1" si="5"/>
        <v>71526553</v>
      </c>
      <c r="F77" s="32" t="s">
        <v>183</v>
      </c>
      <c r="G77" s="23">
        <f t="shared" ca="1" si="6"/>
        <v>859880</v>
      </c>
      <c r="H77" s="23">
        <f t="shared" ca="1" si="7"/>
        <v>1371</v>
      </c>
      <c r="I77" s="47">
        <f t="shared" ca="1" si="8"/>
        <v>5757</v>
      </c>
      <c r="J77" s="23">
        <v>74</v>
      </c>
      <c r="K77" s="30">
        <f>RandomSelection(AREA!$D$5:$D$22)</f>
        <v>7</v>
      </c>
      <c r="L77">
        <f>RandomSelection(RENDIMIENTO!$H$7:$H$106)</f>
        <v>45</v>
      </c>
      <c r="M77" s="25">
        <f>RandomSelection(SEDE!$D$5:$D$14)</f>
        <v>7</v>
      </c>
      <c r="O77" s="4" t="str">
        <f t="shared" ca="1" si="9"/>
        <v>INSERT INTO Empleado VALUES ('AREVALO SANCHEZ','superwoman@wandoo.es','CALLE LAS CODORNICES 285','71526553','sandra','859880','1371','5757','74','7','45','7');</v>
      </c>
      <c r="AH77" s="20"/>
    </row>
    <row r="78" spans="2:34" ht="15.75" customHeight="1" x14ac:dyDescent="0.25">
      <c r="B78" s="28" t="s">
        <v>459</v>
      </c>
      <c r="C78" s="32" t="s">
        <v>249</v>
      </c>
      <c r="D78" s="31" t="s">
        <v>5</v>
      </c>
      <c r="E78" s="23">
        <f t="shared" ca="1" si="5"/>
        <v>27596073</v>
      </c>
      <c r="F78" s="32" t="s">
        <v>184</v>
      </c>
      <c r="G78" s="23">
        <f t="shared" ca="1" si="6"/>
        <v>798617</v>
      </c>
      <c r="H78" s="23">
        <f t="shared" ca="1" si="7"/>
        <v>6489</v>
      </c>
      <c r="I78" s="47">
        <f t="shared" ca="1" si="8"/>
        <v>1981</v>
      </c>
      <c r="J78" s="23">
        <v>75</v>
      </c>
      <c r="K78" s="30">
        <f>RandomSelection(AREA!$D$5:$D$22)</f>
        <v>6</v>
      </c>
      <c r="L78">
        <f>RandomSelection(RENDIMIENTO!$H$7:$H$106)</f>
        <v>86</v>
      </c>
      <c r="M78" s="25">
        <f>RandomSelection(SEDE!$D$5:$D$14)</f>
        <v>3</v>
      </c>
      <c r="O78" s="4" t="str">
        <f t="shared" ca="1" si="9"/>
        <v>INSERT INTO Empleado VALUES ('ALINS MULET','tablon@hotmail.com','AV. PARQUE NORTE 1160 OFC. 402 - RES. CENTRO EMP PARQUE NORTE','27596073','Sha','798617','6489','1981','75','6','86','3');</v>
      </c>
      <c r="AH78" s="20"/>
    </row>
    <row r="79" spans="2:34" ht="15.75" customHeight="1" x14ac:dyDescent="0.25">
      <c r="B79" s="28" t="s">
        <v>460</v>
      </c>
      <c r="C79" s="32" t="s">
        <v>252</v>
      </c>
      <c r="D79" s="31" t="s">
        <v>12</v>
      </c>
      <c r="E79" s="23">
        <f t="shared" ca="1" si="5"/>
        <v>85387162</v>
      </c>
      <c r="F79" s="32" t="s">
        <v>185</v>
      </c>
      <c r="G79" s="23">
        <f t="shared" ca="1" si="6"/>
        <v>476705</v>
      </c>
      <c r="H79" s="23">
        <f t="shared" ca="1" si="7"/>
        <v>6448</v>
      </c>
      <c r="I79" s="47">
        <f t="shared" ca="1" si="8"/>
        <v>5059</v>
      </c>
      <c r="J79" s="23">
        <v>76</v>
      </c>
      <c r="K79" s="30">
        <f>RandomSelection(AREA!$D$5:$D$22)</f>
        <v>12</v>
      </c>
      <c r="L79">
        <f>RandomSelection(RENDIMIENTO!$H$7:$H$106)</f>
        <v>72</v>
      </c>
      <c r="M79" s="25">
        <f>RandomSelection(SEDE!$D$5:$D$14)</f>
        <v>6</v>
      </c>
      <c r="O79" s="4" t="str">
        <f t="shared" ca="1" si="9"/>
        <v>INSERT INTO Empleado VALUES ('GARCIA GONZÁLEZ','tendre@terra.es','JR. JORGE CHAVEZ 150','85387162','Sincer','476705','6448','5059','76','12','72','6');</v>
      </c>
      <c r="AH79" s="20"/>
    </row>
    <row r="80" spans="2:34" ht="15.75" customHeight="1" x14ac:dyDescent="0.25">
      <c r="B80" s="28" t="s">
        <v>461</v>
      </c>
      <c r="C80" s="32" t="s">
        <v>253</v>
      </c>
      <c r="D80" s="31" t="s">
        <v>15</v>
      </c>
      <c r="E80" s="23">
        <f t="shared" ca="1" si="5"/>
        <v>27130861</v>
      </c>
      <c r="F80" s="32" t="s">
        <v>186</v>
      </c>
      <c r="G80" s="23">
        <f t="shared" ca="1" si="6"/>
        <v>722489</v>
      </c>
      <c r="H80" s="23">
        <f t="shared" ca="1" si="7"/>
        <v>5001</v>
      </c>
      <c r="I80" s="47">
        <f t="shared" ca="1" si="8"/>
        <v>5444</v>
      </c>
      <c r="J80" s="23">
        <v>77</v>
      </c>
      <c r="K80" s="30">
        <f>RandomSelection(AREA!$D$5:$D$22)</f>
        <v>11</v>
      </c>
      <c r="L80">
        <f>RandomSelection(RENDIMIENTO!$H$7:$H$106)</f>
        <v>97</v>
      </c>
      <c r="M80" s="25">
        <f>RandomSelection(SEDE!$D$5:$D$14)</f>
        <v>6</v>
      </c>
      <c r="O80" s="4" t="str">
        <f t="shared" ca="1" si="9"/>
        <v>INSERT INTO Empleado VALUES ('ALVAREZ PARCERISA','teta@intercom.es','AV. PEDRO DE OSMA 402','27130861','Sincera','722489','5001','5444','77','11','97','6');</v>
      </c>
      <c r="AH80" s="20"/>
    </row>
    <row r="81" spans="2:34" ht="15.75" customHeight="1" x14ac:dyDescent="0.25">
      <c r="B81" s="28" t="s">
        <v>462</v>
      </c>
      <c r="C81" s="32" t="s">
        <v>254</v>
      </c>
      <c r="D81" s="31" t="s">
        <v>22</v>
      </c>
      <c r="E81" s="23">
        <f t="shared" ca="1" si="5"/>
        <v>36493838</v>
      </c>
      <c r="F81" s="32" t="s">
        <v>187</v>
      </c>
      <c r="G81" s="23">
        <f t="shared" ca="1" si="6"/>
        <v>152886</v>
      </c>
      <c r="H81" s="23">
        <f t="shared" ca="1" si="7"/>
        <v>2541</v>
      </c>
      <c r="I81" s="47">
        <f t="shared" ca="1" si="8"/>
        <v>2827</v>
      </c>
      <c r="J81" s="23">
        <v>78</v>
      </c>
      <c r="K81" s="30">
        <f>RandomSelection(AREA!$D$5:$D$22)</f>
        <v>1</v>
      </c>
      <c r="L81">
        <f>RandomSelection(RENDIMIENTO!$H$7:$H$106)</f>
        <v>31</v>
      </c>
      <c r="M81" s="25">
        <f>RandomSelection(SEDE!$D$5:$D$14)</f>
        <v>2</v>
      </c>
      <c r="O81" s="4" t="str">
        <f t="shared" ca="1" si="9"/>
        <v>INSERT INTO Empleado VALUES ('CASAS ANDRÉS','tomasa@hotmail.com','AV. PABLO BERMUDEZ NRO. 254 E','36493838','suau','152886','2541','2827','78','1','31','2');</v>
      </c>
      <c r="AH81" s="20"/>
    </row>
    <row r="82" spans="2:34" ht="15.75" customHeight="1" x14ac:dyDescent="0.25">
      <c r="B82" s="28" t="s">
        <v>463</v>
      </c>
      <c r="C82" s="32" t="s">
        <v>255</v>
      </c>
      <c r="D82" s="31" t="s">
        <v>31</v>
      </c>
      <c r="E82" s="23">
        <f t="shared" ca="1" si="5"/>
        <v>85086534</v>
      </c>
      <c r="F82" s="32" t="s">
        <v>188</v>
      </c>
      <c r="G82" s="23">
        <f t="shared" ca="1" si="6"/>
        <v>205796</v>
      </c>
      <c r="H82" s="23">
        <f t="shared" ca="1" si="7"/>
        <v>8235</v>
      </c>
      <c r="I82" s="47">
        <f t="shared" ca="1" si="8"/>
        <v>3227</v>
      </c>
      <c r="J82" s="23">
        <v>79</v>
      </c>
      <c r="K82" s="30">
        <f>RandomSelection(AREA!$D$5:$D$22)</f>
        <v>15</v>
      </c>
      <c r="L82">
        <f>RandomSelection(RENDIMIENTO!$H$7:$H$106)</f>
        <v>7</v>
      </c>
      <c r="M82" s="25">
        <f>RandomSelection(SEDE!$D$5:$D$14)</f>
        <v>5</v>
      </c>
      <c r="O82" s="4" t="str">
        <f t="shared" ca="1" si="9"/>
        <v>INSERT INTO Empleado VALUES ('MORALES GESE','tremenda@altecom.es','CALLE DEAN VALDIVIA 148 PISO 11 OF. REGUS','85086534','Superman','205796','8235','3227','79','15','7','5');</v>
      </c>
      <c r="AH82" s="20"/>
    </row>
    <row r="83" spans="2:34" ht="15.75" customHeight="1" x14ac:dyDescent="0.25">
      <c r="B83" s="28" t="s">
        <v>464</v>
      </c>
      <c r="C83" s="32" t="s">
        <v>256</v>
      </c>
      <c r="D83" s="31" t="s">
        <v>37</v>
      </c>
      <c r="E83" s="23">
        <f t="shared" ca="1" si="5"/>
        <v>32974583</v>
      </c>
      <c r="F83" s="32" t="s">
        <v>189</v>
      </c>
      <c r="G83" s="23">
        <f t="shared" ca="1" si="6"/>
        <v>255578</v>
      </c>
      <c r="H83" s="23">
        <f t="shared" ca="1" si="7"/>
        <v>1585</v>
      </c>
      <c r="I83" s="47">
        <f t="shared" ca="1" si="8"/>
        <v>6790</v>
      </c>
      <c r="J83" s="23">
        <v>80</v>
      </c>
      <c r="K83" s="30">
        <f>RandomSelection(AREA!$D$5:$D$22)</f>
        <v>2</v>
      </c>
      <c r="L83">
        <f>RandomSelection(RENDIMIENTO!$H$7:$H$106)</f>
        <v>3</v>
      </c>
      <c r="M83" s="25">
        <f>RandomSelection(SEDE!$D$5:$D$14)</f>
        <v>7</v>
      </c>
      <c r="O83" s="4" t="str">
        <f t="shared" ca="1" si="9"/>
        <v>INSERT INTO Empleado VALUES ('BARALDÉS MARTORELL','tripa@intercom.es','AV. 28 DE JULIO NRO. 1044 DPTO. 601 URB. SAN ANTONIO','32974583','Superwoman','255578','1585','6790','80','2','3','7');</v>
      </c>
      <c r="AH83" s="20"/>
    </row>
    <row r="84" spans="2:34" ht="15.75" customHeight="1" x14ac:dyDescent="0.25">
      <c r="B84" s="28" t="s">
        <v>443</v>
      </c>
      <c r="C84" s="32" t="s">
        <v>257</v>
      </c>
      <c r="D84" s="31" t="s">
        <v>41</v>
      </c>
      <c r="E84" s="23">
        <f t="shared" ca="1" si="5"/>
        <v>16694567</v>
      </c>
      <c r="F84" s="32" t="s">
        <v>190</v>
      </c>
      <c r="G84" s="23">
        <f t="shared" ca="1" si="6"/>
        <v>493207</v>
      </c>
      <c r="H84" s="23">
        <f t="shared" ca="1" si="7"/>
        <v>8381</v>
      </c>
      <c r="I84" s="47">
        <f t="shared" ca="1" si="8"/>
        <v>2000</v>
      </c>
      <c r="J84" s="23">
        <v>81</v>
      </c>
      <c r="K84" s="30">
        <f>RandomSelection(AREA!$D$5:$D$22)</f>
        <v>10</v>
      </c>
      <c r="L84">
        <f>RandomSelection(RENDIMIENTO!$H$7:$H$106)</f>
        <v>76</v>
      </c>
      <c r="M84" s="25">
        <f>RandomSelection(SEDE!$D$5:$D$14)</f>
        <v>9</v>
      </c>
      <c r="O84" s="4" t="str">
        <f t="shared" ca="1" si="9"/>
        <v>INSERT INTO Empleado VALUES ('AROCA GÓMEZ','verruga@hotmail.com','PSJE. SUCRE 177','16694567','Tablon','493207','8381','2000','81','10','76','9');</v>
      </c>
      <c r="AH84" s="20"/>
    </row>
    <row r="85" spans="2:34" ht="15.75" customHeight="1" x14ac:dyDescent="0.25">
      <c r="B85" s="28" t="s">
        <v>465</v>
      </c>
      <c r="C85" s="31" t="s">
        <v>243</v>
      </c>
      <c r="D85" s="31" t="s">
        <v>50</v>
      </c>
      <c r="E85" s="23">
        <f t="shared" ca="1" si="5"/>
        <v>97853039</v>
      </c>
      <c r="F85" s="32" t="s">
        <v>191</v>
      </c>
      <c r="G85" s="23">
        <f t="shared" ca="1" si="6"/>
        <v>298131</v>
      </c>
      <c r="H85" s="23">
        <f t="shared" ca="1" si="7"/>
        <v>1151</v>
      </c>
      <c r="I85" s="47">
        <f t="shared" ca="1" si="8"/>
        <v>2365</v>
      </c>
      <c r="J85" s="23">
        <v>82</v>
      </c>
      <c r="K85" s="30">
        <f>RandomSelection(AREA!$D$5:$D$22)</f>
        <v>14</v>
      </c>
      <c r="L85">
        <f>RandomSelection(RENDIMIENTO!$H$7:$H$106)</f>
        <v>100</v>
      </c>
      <c r="M85" s="25">
        <f>RandomSelection(SEDE!$D$5:$D$14)</f>
        <v>4</v>
      </c>
      <c r="O85" s="4" t="str">
        <f t="shared" ca="1" si="9"/>
        <v>INSERT INTO Empleado VALUES ('RUEDA ALVAREZ','ronc@cataloniamail.com','AV. TOMAS MARSANO 1790 DPTO. 201','97853039','tendre','298131','1151','2365','82','14','100','4');</v>
      </c>
      <c r="AH85" s="20"/>
    </row>
    <row r="86" spans="2:34" ht="15.75" customHeight="1" x14ac:dyDescent="0.25">
      <c r="B86" s="28" t="s">
        <v>466</v>
      </c>
      <c r="C86" s="31" t="s">
        <v>244</v>
      </c>
      <c r="D86" s="31" t="s">
        <v>54</v>
      </c>
      <c r="E86" s="23">
        <f t="shared" ca="1" si="5"/>
        <v>45249463</v>
      </c>
      <c r="F86" s="32" t="s">
        <v>192</v>
      </c>
      <c r="G86" s="23">
        <f t="shared" ca="1" si="6"/>
        <v>542876</v>
      </c>
      <c r="H86" s="23">
        <f t="shared" ca="1" si="7"/>
        <v>2953</v>
      </c>
      <c r="I86" s="47">
        <f t="shared" ca="1" si="8"/>
        <v>6540</v>
      </c>
      <c r="J86" s="23">
        <v>83</v>
      </c>
      <c r="K86" s="30">
        <f>RandomSelection(AREA!$D$5:$D$22)</f>
        <v>2</v>
      </c>
      <c r="L86">
        <f>RandomSelection(RENDIMIENTO!$H$7:$H$106)</f>
        <v>19</v>
      </c>
      <c r="M86" s="25">
        <f>RandomSelection(SEDE!$D$5:$D$14)</f>
        <v>10</v>
      </c>
      <c r="O86" s="4" t="str">
        <f t="shared" ca="1" si="9"/>
        <v>INSERT INTO Empleado VALUES ('ALVAREZ DOMENECH','sabrosa@hotmail.com','CALLE ARCE #139 DPTO 604','45249463','Teta','542876','2953','6540','83','2','19','10');</v>
      </c>
      <c r="AH86" s="20"/>
    </row>
    <row r="87" spans="2:34" ht="15.75" customHeight="1" x14ac:dyDescent="0.25">
      <c r="B87" s="28" t="s">
        <v>467</v>
      </c>
      <c r="C87" s="31" t="s">
        <v>245</v>
      </c>
      <c r="D87" s="31" t="s">
        <v>58</v>
      </c>
      <c r="E87" s="23">
        <f t="shared" ca="1" si="5"/>
        <v>53824010</v>
      </c>
      <c r="F87" s="32" t="s">
        <v>193</v>
      </c>
      <c r="G87" s="23">
        <f t="shared" ca="1" si="6"/>
        <v>618833</v>
      </c>
      <c r="H87" s="23">
        <f t="shared" ca="1" si="7"/>
        <v>3303</v>
      </c>
      <c r="I87" s="47">
        <f t="shared" ca="1" si="8"/>
        <v>5467</v>
      </c>
      <c r="J87" s="23">
        <v>84</v>
      </c>
      <c r="K87" s="30">
        <f>RandomSelection(AREA!$D$5:$D$22)</f>
        <v>13</v>
      </c>
      <c r="L87">
        <f>RandomSelection(RENDIMIENTO!$H$7:$H$106)</f>
        <v>84</v>
      </c>
      <c r="M87" s="25">
        <f>RandomSelection(SEDE!$D$5:$D$14)</f>
        <v>10</v>
      </c>
      <c r="O87" s="4" t="str">
        <f t="shared" ca="1" si="9"/>
        <v>INSERT INTO Empleado VALUES ('BOIX GONZÁLEZ','salsa@cataloniamail.com','AV. JAVIER PADO OESTE 203','53824010','Tomasa','618833','3303','5467','84','13','84','10');</v>
      </c>
      <c r="AH87" s="20"/>
    </row>
    <row r="88" spans="2:34" ht="15.75" customHeight="1" x14ac:dyDescent="0.25">
      <c r="B88" s="28" t="s">
        <v>468</v>
      </c>
      <c r="C88" s="31" t="s">
        <v>246</v>
      </c>
      <c r="D88" s="31" t="s">
        <v>64</v>
      </c>
      <c r="E88" s="23">
        <f t="shared" ca="1" si="5"/>
        <v>67232644</v>
      </c>
      <c r="F88" s="32" t="s">
        <v>194</v>
      </c>
      <c r="G88" s="23">
        <f t="shared" ca="1" si="6"/>
        <v>431173</v>
      </c>
      <c r="H88" s="23">
        <f t="shared" ca="1" si="7"/>
        <v>9988</v>
      </c>
      <c r="I88" s="47">
        <f t="shared" ca="1" si="8"/>
        <v>4944</v>
      </c>
      <c r="J88" s="23">
        <v>85</v>
      </c>
      <c r="K88" s="30">
        <f>RandomSelection(AREA!$D$5:$D$22)</f>
        <v>10</v>
      </c>
      <c r="L88">
        <f>RandomSelection(RENDIMIENTO!$H$7:$H$106)</f>
        <v>60</v>
      </c>
      <c r="M88" s="25">
        <f>RandomSelection(SEDE!$D$5:$D$14)</f>
        <v>7</v>
      </c>
      <c r="O88" s="4" t="str">
        <f t="shared" ca="1" si="9"/>
        <v>INSERT INTO Empleado VALUES ('BARALDÉS MONRÓS','sincer@altecom.es','CALLE INDEPENDENCIA 663 URB. MIRAFLORES','67232644','Tranquil','431173','9988','4944','85','10','60','7');</v>
      </c>
      <c r="AH88" s="20"/>
    </row>
    <row r="89" spans="2:34" ht="15.75" customHeight="1" x14ac:dyDescent="0.25">
      <c r="B89" s="28" t="s">
        <v>469</v>
      </c>
      <c r="C89" s="31" t="s">
        <v>247</v>
      </c>
      <c r="D89" s="31" t="s">
        <v>282</v>
      </c>
      <c r="E89" s="23">
        <f t="shared" ca="1" si="5"/>
        <v>72259155</v>
      </c>
      <c r="F89" s="32" t="s">
        <v>195</v>
      </c>
      <c r="G89" s="23">
        <f t="shared" ca="1" si="6"/>
        <v>434937</v>
      </c>
      <c r="H89" s="23">
        <f t="shared" ca="1" si="7"/>
        <v>8096</v>
      </c>
      <c r="I89" s="47">
        <f t="shared" ca="1" si="8"/>
        <v>2832</v>
      </c>
      <c r="J89" s="23">
        <v>86</v>
      </c>
      <c r="K89" s="30">
        <f>RandomSelection(AREA!$D$5:$D$22)</f>
        <v>6</v>
      </c>
      <c r="L89">
        <f>RandomSelection(RENDIMIENTO!$H$7:$H$106)</f>
        <v>66</v>
      </c>
      <c r="M89" s="25">
        <f>RandomSelection(SEDE!$D$5:$D$14)</f>
        <v>4</v>
      </c>
      <c r="O89" s="4" t="str">
        <f t="shared" ca="1" si="9"/>
        <v>INSERT INTO Empleado VALUES ('AGUILERA MERINO','sincera@hotmail.com','CALLE JOSE TORIBIO POLO 327 INT 709 URB. SANTA CRUZ','72259155','Tremenda','434937','8096','2832','86','6','66','4');</v>
      </c>
      <c r="AH89" s="20"/>
    </row>
    <row r="90" spans="2:34" ht="15.75" customHeight="1" x14ac:dyDescent="0.25">
      <c r="B90" s="28" t="s">
        <v>470</v>
      </c>
      <c r="C90" s="31" t="s">
        <v>248</v>
      </c>
      <c r="D90" s="31" t="s">
        <v>283</v>
      </c>
      <c r="E90" s="23">
        <f t="shared" ca="1" si="5"/>
        <v>33081674</v>
      </c>
      <c r="F90" s="32" t="s">
        <v>196</v>
      </c>
      <c r="G90" s="23">
        <f t="shared" ca="1" si="6"/>
        <v>456226</v>
      </c>
      <c r="H90" s="23">
        <f t="shared" ca="1" si="7"/>
        <v>7280</v>
      </c>
      <c r="I90" s="47">
        <f t="shared" ca="1" si="8"/>
        <v>1258</v>
      </c>
      <c r="J90" s="23">
        <v>87</v>
      </c>
      <c r="K90" s="30">
        <f>RandomSelection(AREA!$D$5:$D$22)</f>
        <v>1</v>
      </c>
      <c r="L90">
        <f>RandomSelection(RENDIMIENTO!$H$7:$H$106)</f>
        <v>11</v>
      </c>
      <c r="M90" s="25">
        <f>RandomSelection(SEDE!$D$5:$D$14)</f>
        <v>4</v>
      </c>
      <c r="O90" s="4" t="str">
        <f t="shared" ca="1" si="9"/>
        <v>INSERT INTO Empleado VALUES ('BAREA DHAENE','suau@hotmail.com','AV. SALAVERRY 674 DPTO. 501','33081674','Tripa','456226','7280','1258','87','1','11','4');</v>
      </c>
      <c r="AH90" s="20"/>
    </row>
    <row r="91" spans="2:34" ht="15.75" customHeight="1" x14ac:dyDescent="0.25">
      <c r="B91" s="28" t="s">
        <v>471</v>
      </c>
      <c r="C91" s="32" t="s">
        <v>249</v>
      </c>
      <c r="D91" s="31" t="s">
        <v>284</v>
      </c>
      <c r="E91" s="23">
        <f t="shared" ca="1" si="5"/>
        <v>94098753</v>
      </c>
      <c r="F91" s="32" t="s">
        <v>197</v>
      </c>
      <c r="G91" s="23">
        <f t="shared" ca="1" si="6"/>
        <v>362376</v>
      </c>
      <c r="H91" s="23">
        <f t="shared" ca="1" si="7"/>
        <v>8909</v>
      </c>
      <c r="I91" s="47">
        <f t="shared" ca="1" si="8"/>
        <v>5725</v>
      </c>
      <c r="J91" s="23">
        <v>88</v>
      </c>
      <c r="K91" s="30">
        <f>RandomSelection(AREA!$D$5:$D$22)</f>
        <v>16</v>
      </c>
      <c r="L91">
        <f>RandomSelection(RENDIMIENTO!$H$7:$H$106)</f>
        <v>24</v>
      </c>
      <c r="M91" s="25">
        <f>RandomSelection(SEDE!$D$5:$D$14)</f>
        <v>8</v>
      </c>
      <c r="O91" s="4" t="str">
        <f t="shared" ca="1" si="9"/>
        <v>INSERT INTO Empleado VALUES ('BARROSO DHAENE','tablon@hotmail.com','AV. JAVIER PRADO ESTE 560 OFC 2302 , PISO 23','94098753','Verruga','362376','8909','5725','88','16','24','8');</v>
      </c>
      <c r="AH91" s="20"/>
    </row>
    <row r="92" spans="2:34" ht="15.75" customHeight="1" x14ac:dyDescent="0.25">
      <c r="E92" s="27"/>
    </row>
    <row r="93" spans="2:34" ht="15.75" customHeight="1" x14ac:dyDescent="0.25">
      <c r="E93" s="27"/>
    </row>
    <row r="94" spans="2:34" ht="15.75" customHeight="1" x14ac:dyDescent="0.25">
      <c r="E94" s="27"/>
      <c r="O94" s="20" t="s">
        <v>736</v>
      </c>
    </row>
    <row r="95" spans="2:34" ht="15.75" customHeight="1" x14ac:dyDescent="0.25">
      <c r="E95" s="27"/>
      <c r="O95" s="20" t="s">
        <v>737</v>
      </c>
    </row>
    <row r="96" spans="2:34" ht="15.75" customHeight="1" x14ac:dyDescent="0.25">
      <c r="E96" s="27"/>
      <c r="O96" s="20" t="s">
        <v>738</v>
      </c>
    </row>
    <row r="97" spans="5:15" ht="15.75" customHeight="1" x14ac:dyDescent="0.25">
      <c r="E97" s="27"/>
      <c r="O97" s="20" t="s">
        <v>739</v>
      </c>
    </row>
    <row r="98" spans="5:15" ht="15.75" customHeight="1" x14ac:dyDescent="0.25">
      <c r="E98" s="27"/>
      <c r="O98" s="20" t="s">
        <v>740</v>
      </c>
    </row>
    <row r="99" spans="5:15" ht="15.75" customHeight="1" x14ac:dyDescent="0.25">
      <c r="E99" s="27"/>
      <c r="O99" s="20" t="s">
        <v>741</v>
      </c>
    </row>
    <row r="100" spans="5:15" ht="15.75" customHeight="1" x14ac:dyDescent="0.25">
      <c r="E100" s="27"/>
      <c r="O100" s="20" t="s">
        <v>742</v>
      </c>
    </row>
    <row r="101" spans="5:15" ht="15.75" customHeight="1" x14ac:dyDescent="0.25">
      <c r="E101" s="27"/>
      <c r="O101" s="20" t="s">
        <v>743</v>
      </c>
    </row>
    <row r="102" spans="5:15" ht="15.75" customHeight="1" x14ac:dyDescent="0.25">
      <c r="E102" s="27"/>
      <c r="O102" s="20" t="s">
        <v>744</v>
      </c>
    </row>
    <row r="103" spans="5:15" ht="15.75" customHeight="1" x14ac:dyDescent="0.25">
      <c r="E103" s="27"/>
      <c r="O103" s="20" t="s">
        <v>745</v>
      </c>
    </row>
    <row r="104" spans="5:15" ht="15.75" customHeight="1" x14ac:dyDescent="0.25">
      <c r="E104" s="27"/>
      <c r="O104" s="20" t="s">
        <v>746</v>
      </c>
    </row>
    <row r="105" spans="5:15" ht="15.75" customHeight="1" x14ac:dyDescent="0.25">
      <c r="E105" s="27"/>
      <c r="O105" s="20" t="s">
        <v>747</v>
      </c>
    </row>
    <row r="106" spans="5:15" ht="15.75" customHeight="1" x14ac:dyDescent="0.25">
      <c r="E106" s="27"/>
      <c r="O106" s="20" t="s">
        <v>748</v>
      </c>
    </row>
    <row r="107" spans="5:15" ht="15.75" customHeight="1" x14ac:dyDescent="0.25">
      <c r="E107" s="27"/>
      <c r="O107" s="20" t="s">
        <v>749</v>
      </c>
    </row>
    <row r="108" spans="5:15" ht="15.75" customHeight="1" x14ac:dyDescent="0.25">
      <c r="E108" s="27"/>
      <c r="O108" s="20" t="s">
        <v>750</v>
      </c>
    </row>
    <row r="109" spans="5:15" ht="15.75" customHeight="1" x14ac:dyDescent="0.25">
      <c r="E109" s="27"/>
      <c r="O109" s="20" t="s">
        <v>751</v>
      </c>
    </row>
    <row r="110" spans="5:15" ht="15.75" customHeight="1" x14ac:dyDescent="0.25">
      <c r="E110" s="27"/>
      <c r="O110" s="20" t="s">
        <v>752</v>
      </c>
    </row>
    <row r="111" spans="5:15" ht="15.75" customHeight="1" x14ac:dyDescent="0.25">
      <c r="E111" s="27"/>
      <c r="O111" s="20" t="s">
        <v>753</v>
      </c>
    </row>
    <row r="112" spans="5:15" ht="15.75" customHeight="1" x14ac:dyDescent="0.25">
      <c r="E112" s="27"/>
      <c r="O112" s="20" t="s">
        <v>754</v>
      </c>
    </row>
    <row r="113" spans="5:15" ht="15.75" customHeight="1" x14ac:dyDescent="0.25">
      <c r="E113" s="27"/>
      <c r="O113" s="20" t="s">
        <v>755</v>
      </c>
    </row>
    <row r="114" spans="5:15" ht="15.75" customHeight="1" x14ac:dyDescent="0.25">
      <c r="E114" s="27"/>
      <c r="O114" s="20" t="s">
        <v>756</v>
      </c>
    </row>
    <row r="115" spans="5:15" ht="15.75" customHeight="1" x14ac:dyDescent="0.25">
      <c r="E115" s="27"/>
      <c r="O115" s="20" t="s">
        <v>757</v>
      </c>
    </row>
    <row r="116" spans="5:15" ht="15.75" customHeight="1" x14ac:dyDescent="0.25">
      <c r="E116" s="27"/>
      <c r="O116" s="20" t="s">
        <v>758</v>
      </c>
    </row>
    <row r="117" spans="5:15" ht="15.75" customHeight="1" x14ac:dyDescent="0.25">
      <c r="E117" s="27"/>
      <c r="O117" s="20" t="s">
        <v>759</v>
      </c>
    </row>
    <row r="118" spans="5:15" ht="15.75" customHeight="1" x14ac:dyDescent="0.25">
      <c r="E118" s="27"/>
      <c r="O118" s="20" t="s">
        <v>760</v>
      </c>
    </row>
    <row r="119" spans="5:15" ht="15.75" customHeight="1" x14ac:dyDescent="0.25">
      <c r="E119" s="27"/>
      <c r="O119" s="20" t="s">
        <v>761</v>
      </c>
    </row>
    <row r="120" spans="5:15" ht="15.75" customHeight="1" x14ac:dyDescent="0.25">
      <c r="E120" s="27"/>
      <c r="O120" s="20" t="s">
        <v>762</v>
      </c>
    </row>
    <row r="121" spans="5:15" ht="15.75" customHeight="1" x14ac:dyDescent="0.25">
      <c r="E121" s="27"/>
      <c r="O121" s="20" t="s">
        <v>763</v>
      </c>
    </row>
    <row r="122" spans="5:15" ht="15.75" customHeight="1" x14ac:dyDescent="0.25">
      <c r="E122" s="27"/>
      <c r="O122" s="20" t="s">
        <v>764</v>
      </c>
    </row>
    <row r="123" spans="5:15" ht="15.75" customHeight="1" x14ac:dyDescent="0.25">
      <c r="E123" s="27"/>
      <c r="O123" s="20" t="s">
        <v>765</v>
      </c>
    </row>
    <row r="124" spans="5:15" ht="15.75" customHeight="1" x14ac:dyDescent="0.25">
      <c r="E124" s="27"/>
      <c r="O124" s="20" t="s">
        <v>766</v>
      </c>
    </row>
    <row r="125" spans="5:15" ht="15.75" customHeight="1" x14ac:dyDescent="0.25">
      <c r="E125" s="27"/>
      <c r="O125" s="20" t="s">
        <v>767</v>
      </c>
    </row>
    <row r="126" spans="5:15" ht="15.75" customHeight="1" x14ac:dyDescent="0.25">
      <c r="E126" s="27"/>
      <c r="O126" s="20" t="s">
        <v>768</v>
      </c>
    </row>
    <row r="127" spans="5:15" ht="15.75" customHeight="1" x14ac:dyDescent="0.25">
      <c r="E127" s="27"/>
      <c r="O127" s="20" t="s">
        <v>769</v>
      </c>
    </row>
    <row r="128" spans="5:15" ht="15.75" customHeight="1" x14ac:dyDescent="0.25">
      <c r="E128" s="27"/>
      <c r="O128" s="20" t="s">
        <v>770</v>
      </c>
    </row>
    <row r="129" spans="5:15" ht="15.75" customHeight="1" x14ac:dyDescent="0.25">
      <c r="E129" s="27"/>
      <c r="O129" s="20" t="s">
        <v>771</v>
      </c>
    </row>
    <row r="130" spans="5:15" ht="15.75" customHeight="1" x14ac:dyDescent="0.25">
      <c r="E130" s="27"/>
      <c r="O130" s="20" t="s">
        <v>772</v>
      </c>
    </row>
    <row r="131" spans="5:15" ht="15.75" customHeight="1" x14ac:dyDescent="0.25">
      <c r="E131" s="27"/>
      <c r="O131" s="20" t="s">
        <v>773</v>
      </c>
    </row>
    <row r="132" spans="5:15" ht="15.75" customHeight="1" x14ac:dyDescent="0.25">
      <c r="E132" s="27"/>
      <c r="O132" s="20" t="s">
        <v>774</v>
      </c>
    </row>
    <row r="133" spans="5:15" ht="15.75" customHeight="1" x14ac:dyDescent="0.25">
      <c r="E133" s="27"/>
      <c r="O133" s="20" t="s">
        <v>775</v>
      </c>
    </row>
    <row r="134" spans="5:15" ht="15.75" customHeight="1" x14ac:dyDescent="0.25">
      <c r="E134" s="27"/>
      <c r="O134" s="20" t="s">
        <v>776</v>
      </c>
    </row>
    <row r="135" spans="5:15" ht="15.75" customHeight="1" x14ac:dyDescent="0.25">
      <c r="E135" s="27"/>
      <c r="O135" s="20" t="s">
        <v>777</v>
      </c>
    </row>
    <row r="136" spans="5:15" ht="15.75" customHeight="1" x14ac:dyDescent="0.25">
      <c r="E136" s="27"/>
      <c r="O136" s="20" t="s">
        <v>778</v>
      </c>
    </row>
    <row r="137" spans="5:15" ht="15.75" customHeight="1" x14ac:dyDescent="0.25">
      <c r="E137" s="27"/>
      <c r="O137" s="20" t="s">
        <v>779</v>
      </c>
    </row>
    <row r="138" spans="5:15" ht="15.75" customHeight="1" x14ac:dyDescent="0.25">
      <c r="E138" s="27"/>
      <c r="O138" s="20" t="s">
        <v>780</v>
      </c>
    </row>
    <row r="139" spans="5:15" ht="15.75" customHeight="1" x14ac:dyDescent="0.25">
      <c r="E139" s="27"/>
      <c r="O139" s="20" t="s">
        <v>781</v>
      </c>
    </row>
    <row r="140" spans="5:15" ht="15.75" customHeight="1" x14ac:dyDescent="0.25">
      <c r="E140" s="27"/>
      <c r="O140" s="20" t="s">
        <v>782</v>
      </c>
    </row>
    <row r="141" spans="5:15" ht="15.75" customHeight="1" x14ac:dyDescent="0.25">
      <c r="E141" s="27"/>
      <c r="O141" s="20" t="s">
        <v>783</v>
      </c>
    </row>
    <row r="142" spans="5:15" ht="15.75" customHeight="1" x14ac:dyDescent="0.25">
      <c r="E142" s="27"/>
      <c r="O142" s="20" t="s">
        <v>784</v>
      </c>
    </row>
    <row r="143" spans="5:15" ht="15.75" customHeight="1" x14ac:dyDescent="0.25">
      <c r="E143" s="27"/>
      <c r="O143" s="20" t="s">
        <v>785</v>
      </c>
    </row>
    <row r="144" spans="5:15" ht="15.75" customHeight="1" x14ac:dyDescent="0.25">
      <c r="E144" s="27"/>
      <c r="O144" s="20" t="s">
        <v>786</v>
      </c>
    </row>
    <row r="145" spans="5:15" ht="15.75" customHeight="1" x14ac:dyDescent="0.25">
      <c r="E145" s="27"/>
      <c r="O145" s="20" t="s">
        <v>787</v>
      </c>
    </row>
    <row r="146" spans="5:15" ht="15.75" customHeight="1" x14ac:dyDescent="0.25">
      <c r="E146" s="27"/>
      <c r="O146" s="20" t="s">
        <v>788</v>
      </c>
    </row>
    <row r="147" spans="5:15" ht="15.75" customHeight="1" x14ac:dyDescent="0.25">
      <c r="E147" s="27"/>
      <c r="O147" s="20" t="s">
        <v>789</v>
      </c>
    </row>
    <row r="148" spans="5:15" ht="15.75" customHeight="1" x14ac:dyDescent="0.25">
      <c r="E148" s="27"/>
      <c r="O148" s="20" t="s">
        <v>790</v>
      </c>
    </row>
    <row r="149" spans="5:15" ht="15.75" customHeight="1" x14ac:dyDescent="0.25">
      <c r="E149" s="27"/>
      <c r="O149" s="20" t="s">
        <v>791</v>
      </c>
    </row>
    <row r="150" spans="5:15" ht="15.75" customHeight="1" x14ac:dyDescent="0.25">
      <c r="E150" s="27"/>
      <c r="O150" s="20" t="s">
        <v>792</v>
      </c>
    </row>
    <row r="151" spans="5:15" ht="15.75" customHeight="1" x14ac:dyDescent="0.25">
      <c r="E151" s="27"/>
      <c r="O151" s="20" t="s">
        <v>793</v>
      </c>
    </row>
    <row r="152" spans="5:15" ht="15.75" customHeight="1" x14ac:dyDescent="0.25">
      <c r="E152" s="27"/>
      <c r="O152" s="20" t="s">
        <v>794</v>
      </c>
    </row>
    <row r="153" spans="5:15" ht="15.75" customHeight="1" x14ac:dyDescent="0.25">
      <c r="E153" s="27"/>
      <c r="O153" s="20" t="s">
        <v>795</v>
      </c>
    </row>
    <row r="154" spans="5:15" ht="15.75" customHeight="1" x14ac:dyDescent="0.25">
      <c r="E154" s="27"/>
      <c r="O154" s="20" t="s">
        <v>796</v>
      </c>
    </row>
    <row r="155" spans="5:15" ht="15.75" customHeight="1" x14ac:dyDescent="0.25">
      <c r="E155" s="27"/>
      <c r="O155" s="20" t="s">
        <v>797</v>
      </c>
    </row>
    <row r="156" spans="5:15" ht="15.75" customHeight="1" x14ac:dyDescent="0.25">
      <c r="E156" s="27"/>
      <c r="O156" s="20" t="s">
        <v>798</v>
      </c>
    </row>
    <row r="157" spans="5:15" ht="15.75" customHeight="1" x14ac:dyDescent="0.25">
      <c r="E157" s="27"/>
      <c r="O157" s="20" t="s">
        <v>799</v>
      </c>
    </row>
    <row r="158" spans="5:15" ht="15.75" customHeight="1" x14ac:dyDescent="0.25">
      <c r="E158" s="27"/>
      <c r="O158" s="20" t="s">
        <v>800</v>
      </c>
    </row>
    <row r="159" spans="5:15" ht="15.75" customHeight="1" x14ac:dyDescent="0.25">
      <c r="E159" s="27"/>
      <c r="O159" s="20" t="s">
        <v>801</v>
      </c>
    </row>
    <row r="160" spans="5:15" ht="15.75" customHeight="1" x14ac:dyDescent="0.25">
      <c r="E160" s="27"/>
      <c r="O160" s="20" t="s">
        <v>802</v>
      </c>
    </row>
    <row r="161" spans="5:15" ht="15.75" customHeight="1" x14ac:dyDescent="0.25">
      <c r="E161" s="27"/>
      <c r="O161" s="20" t="s">
        <v>803</v>
      </c>
    </row>
    <row r="162" spans="5:15" ht="15.75" customHeight="1" x14ac:dyDescent="0.25">
      <c r="E162" s="27"/>
      <c r="O162" s="20" t="s">
        <v>804</v>
      </c>
    </row>
    <row r="163" spans="5:15" ht="15.75" customHeight="1" x14ac:dyDescent="0.25">
      <c r="E163" s="27"/>
      <c r="O163" s="20" t="s">
        <v>805</v>
      </c>
    </row>
    <row r="164" spans="5:15" ht="15.75" customHeight="1" x14ac:dyDescent="0.25">
      <c r="E164" s="27"/>
      <c r="O164" s="20" t="s">
        <v>806</v>
      </c>
    </row>
    <row r="165" spans="5:15" ht="15.75" customHeight="1" x14ac:dyDescent="0.25">
      <c r="E165" s="27"/>
      <c r="O165" s="20" t="s">
        <v>807</v>
      </c>
    </row>
    <row r="166" spans="5:15" ht="15.75" customHeight="1" x14ac:dyDescent="0.25">
      <c r="E166" s="27"/>
      <c r="O166" s="20" t="s">
        <v>808</v>
      </c>
    </row>
    <row r="167" spans="5:15" ht="15.75" customHeight="1" x14ac:dyDescent="0.25">
      <c r="E167" s="27"/>
      <c r="O167" s="20" t="s">
        <v>809</v>
      </c>
    </row>
    <row r="168" spans="5:15" ht="15.75" customHeight="1" x14ac:dyDescent="0.25">
      <c r="E168" s="27"/>
      <c r="O168" s="20" t="s">
        <v>810</v>
      </c>
    </row>
    <row r="169" spans="5:15" ht="15.75" customHeight="1" x14ac:dyDescent="0.25">
      <c r="E169" s="27"/>
      <c r="O169" s="20" t="s">
        <v>811</v>
      </c>
    </row>
    <row r="170" spans="5:15" ht="15.75" customHeight="1" x14ac:dyDescent="0.25">
      <c r="E170" s="27"/>
      <c r="O170" s="20" t="s">
        <v>812</v>
      </c>
    </row>
    <row r="171" spans="5:15" ht="15.75" customHeight="1" x14ac:dyDescent="0.25">
      <c r="E171" s="27"/>
      <c r="O171" s="20" t="s">
        <v>813</v>
      </c>
    </row>
    <row r="172" spans="5:15" ht="15.75" customHeight="1" x14ac:dyDescent="0.25">
      <c r="E172" s="27"/>
      <c r="O172" s="20" t="s">
        <v>814</v>
      </c>
    </row>
    <row r="173" spans="5:15" ht="15.75" customHeight="1" x14ac:dyDescent="0.25">
      <c r="E173" s="27"/>
      <c r="O173" s="20" t="s">
        <v>815</v>
      </c>
    </row>
    <row r="174" spans="5:15" ht="15.75" customHeight="1" x14ac:dyDescent="0.25">
      <c r="E174" s="27"/>
      <c r="O174" s="20" t="s">
        <v>816</v>
      </c>
    </row>
    <row r="175" spans="5:15" ht="15.75" customHeight="1" x14ac:dyDescent="0.25">
      <c r="E175" s="27"/>
      <c r="O175" s="20" t="s">
        <v>817</v>
      </c>
    </row>
    <row r="176" spans="5:15" ht="15.75" customHeight="1" x14ac:dyDescent="0.25">
      <c r="E176" s="27"/>
      <c r="O176" s="20" t="s">
        <v>818</v>
      </c>
    </row>
    <row r="177" spans="5:15" ht="15.75" customHeight="1" x14ac:dyDescent="0.25">
      <c r="E177" s="27"/>
      <c r="O177" s="20" t="s">
        <v>819</v>
      </c>
    </row>
    <row r="178" spans="5:15" ht="15.75" customHeight="1" x14ac:dyDescent="0.25">
      <c r="E178" s="27"/>
      <c r="O178" s="20" t="s">
        <v>820</v>
      </c>
    </row>
    <row r="179" spans="5:15" ht="15.75" customHeight="1" x14ac:dyDescent="0.25">
      <c r="E179" s="27"/>
      <c r="O179" s="20" t="s">
        <v>821</v>
      </c>
    </row>
    <row r="180" spans="5:15" ht="15.75" customHeight="1" x14ac:dyDescent="0.25">
      <c r="E180" s="27"/>
      <c r="O180" s="20" t="s">
        <v>822</v>
      </c>
    </row>
    <row r="181" spans="5:15" ht="15.75" customHeight="1" x14ac:dyDescent="0.25">
      <c r="O181" s="20" t="s">
        <v>823</v>
      </c>
    </row>
    <row r="182" spans="5:15" ht="15.75" customHeight="1" x14ac:dyDescent="0.2"/>
    <row r="183" spans="5:15" ht="15.75" customHeight="1" x14ac:dyDescent="0.2"/>
    <row r="184" spans="5:15" ht="15.75" customHeight="1" x14ac:dyDescent="0.2"/>
    <row r="185" spans="5:15" ht="15.75" customHeight="1" x14ac:dyDescent="0.2"/>
    <row r="186" spans="5:15" ht="15.75" customHeight="1" x14ac:dyDescent="0.2"/>
    <row r="187" spans="5:15" ht="15.75" customHeight="1" x14ac:dyDescent="0.2"/>
    <row r="188" spans="5:15" ht="15.75" customHeight="1" x14ac:dyDescent="0.2"/>
    <row r="189" spans="5:15" ht="15.75" customHeight="1" x14ac:dyDescent="0.2"/>
    <row r="190" spans="5:15" ht="15.75" customHeight="1" x14ac:dyDescent="0.2"/>
    <row r="191" spans="5:15" ht="15.75" customHeight="1" x14ac:dyDescent="0.2"/>
    <row r="192" spans="5:15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B2:M2"/>
  </mergeCells>
  <phoneticPr fontId="10" type="noConversion"/>
  <hyperlinks>
    <hyperlink ref="C10" r:id="rId1" xr:uid="{14B74044-66DC-4869-8A62-8C3093728D17}"/>
  </hyperlinks>
  <pageMargins left="0.7" right="0.7" top="0.75" bottom="0.75" header="0" footer="0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BAC77-DB09-44EF-B56F-42F265541C21}">
  <sheetPr>
    <tabColor rgb="FFC00000"/>
  </sheetPr>
  <dimension ref="A4:H228"/>
  <sheetViews>
    <sheetView topLeftCell="A4" workbookViewId="0">
      <selection activeCell="M30" sqref="M30"/>
    </sheetView>
  </sheetViews>
  <sheetFormatPr baseColWidth="10" defaultRowHeight="14.25" x14ac:dyDescent="0.2"/>
  <sheetData>
    <row r="4" spans="1:8" ht="15" x14ac:dyDescent="0.25">
      <c r="C4" s="63" t="s">
        <v>504</v>
      </c>
      <c r="D4" s="64"/>
      <c r="E4" s="64"/>
      <c r="F4" s="64"/>
    </row>
    <row r="5" spans="1:8" ht="15" x14ac:dyDescent="0.25">
      <c r="C5" s="12" t="s">
        <v>376</v>
      </c>
      <c r="D5" s="13" t="s">
        <v>505</v>
      </c>
      <c r="E5" s="13" t="s">
        <v>506</v>
      </c>
      <c r="F5" s="13" t="s">
        <v>507</v>
      </c>
    </row>
    <row r="6" spans="1:8" ht="15" x14ac:dyDescent="0.25">
      <c r="A6" t="s">
        <v>508</v>
      </c>
      <c r="C6" s="16" t="str">
        <f>RandomSelection($A$6:$A$8)</f>
        <v>ASISTIO</v>
      </c>
      <c r="D6" s="66" t="s">
        <v>511</v>
      </c>
      <c r="E6" s="14">
        <v>1</v>
      </c>
      <c r="F6" s="15">
        <f>RandomSelection(EMPLEADO!$J$4:$J$91)</f>
        <v>25</v>
      </c>
      <c r="H6" s="4" t="str">
        <f>"INSERT INTO Asistencia VALUES ('"&amp;C6&amp;"','"&amp;D6&amp;"','"&amp;E6&amp;"','"&amp;F6&amp;"');"</f>
        <v>INSERT INTO Asistencia VALUES ('ASISTIO','16/08/2020','1','25');</v>
      </c>
    </row>
    <row r="7" spans="1:8" ht="15" x14ac:dyDescent="0.25">
      <c r="A7" t="s">
        <v>509</v>
      </c>
      <c r="C7" s="16" t="str">
        <f t="shared" ref="C7:C70" si="0">RandomSelection($A$6:$A$8)</f>
        <v>TARDANZA</v>
      </c>
      <c r="D7" s="66" t="s">
        <v>512</v>
      </c>
      <c r="E7" s="14">
        <v>2</v>
      </c>
      <c r="F7" s="15">
        <f>RandomSelection(EMPLEADO!$J$4:$J$91)</f>
        <v>26</v>
      </c>
      <c r="H7" s="4" t="str">
        <f t="shared" ref="H7:H70" si="1">"INSERT INTO Asistencia VALUES ('"&amp;C7&amp;"','"&amp;D7&amp;"','"&amp;E7&amp;"','"&amp;F7&amp;"');"</f>
        <v>INSERT INTO Asistencia VALUES ('TARDANZA','13/02/2020','2','26');</v>
      </c>
    </row>
    <row r="8" spans="1:8" ht="15" x14ac:dyDescent="0.25">
      <c r="A8" t="s">
        <v>510</v>
      </c>
      <c r="C8" s="16" t="str">
        <f t="shared" si="0"/>
        <v>FALTO</v>
      </c>
      <c r="D8" s="66" t="s">
        <v>513</v>
      </c>
      <c r="E8" s="14">
        <v>3</v>
      </c>
      <c r="F8" s="15">
        <f>RandomSelection(EMPLEADO!$J$4:$J$91)</f>
        <v>84</v>
      </c>
      <c r="H8" s="4" t="str">
        <f t="shared" si="1"/>
        <v>INSERT INTO Asistencia VALUES ('FALTO','3/05/2020','3','84');</v>
      </c>
    </row>
    <row r="9" spans="1:8" ht="15" x14ac:dyDescent="0.25">
      <c r="C9" s="16" t="str">
        <f t="shared" si="0"/>
        <v>ASISTIO</v>
      </c>
      <c r="D9" s="66" t="s">
        <v>514</v>
      </c>
      <c r="E9" s="14">
        <v>4</v>
      </c>
      <c r="F9" s="15">
        <f>RandomSelection(EMPLEADO!$J$4:$J$91)</f>
        <v>46</v>
      </c>
      <c r="H9" s="4" t="str">
        <f t="shared" si="1"/>
        <v>INSERT INTO Asistencia VALUES ('ASISTIO','20/11/2020','4','46');</v>
      </c>
    </row>
    <row r="10" spans="1:8" ht="15" x14ac:dyDescent="0.25">
      <c r="C10" s="16" t="str">
        <f t="shared" si="0"/>
        <v>FALTO</v>
      </c>
      <c r="D10" s="66" t="s">
        <v>515</v>
      </c>
      <c r="E10" s="14">
        <v>5</v>
      </c>
      <c r="F10" s="15">
        <f>RandomSelection(EMPLEADO!$J$4:$J$91)</f>
        <v>32</v>
      </c>
      <c r="H10" s="4" t="str">
        <f t="shared" si="1"/>
        <v>INSERT INTO Asistencia VALUES ('FALTO','20/05/2021','5','32');</v>
      </c>
    </row>
    <row r="11" spans="1:8" ht="15" x14ac:dyDescent="0.25">
      <c r="C11" s="16" t="str">
        <f t="shared" si="0"/>
        <v>ASISTIO</v>
      </c>
      <c r="D11" s="66" t="s">
        <v>516</v>
      </c>
      <c r="E11" s="14">
        <v>6</v>
      </c>
      <c r="F11" s="15">
        <f>RandomSelection(EMPLEADO!$J$4:$J$91)</f>
        <v>4</v>
      </c>
      <c r="H11" s="4" t="str">
        <f t="shared" si="1"/>
        <v>INSERT INTO Asistencia VALUES ('ASISTIO','24/07/2020','6','4');</v>
      </c>
    </row>
    <row r="12" spans="1:8" ht="15" x14ac:dyDescent="0.25">
      <c r="C12" s="16" t="str">
        <f t="shared" si="0"/>
        <v>ASISTIO</v>
      </c>
      <c r="D12" s="66" t="s">
        <v>517</v>
      </c>
      <c r="E12" s="14">
        <v>7</v>
      </c>
      <c r="F12" s="15">
        <f>RandomSelection(EMPLEADO!$J$4:$J$91)</f>
        <v>28</v>
      </c>
      <c r="H12" s="4" t="str">
        <f t="shared" si="1"/>
        <v>INSERT INTO Asistencia VALUES ('ASISTIO','29/03/2020','7','28');</v>
      </c>
    </row>
    <row r="13" spans="1:8" ht="15" x14ac:dyDescent="0.25">
      <c r="C13" s="16" t="str">
        <f t="shared" si="0"/>
        <v>FALTO</v>
      </c>
      <c r="D13" s="66" t="s">
        <v>518</v>
      </c>
      <c r="E13" s="14">
        <v>8</v>
      </c>
      <c r="F13" s="15">
        <f>RandomSelection(EMPLEADO!$J$4:$J$91)</f>
        <v>54</v>
      </c>
      <c r="H13" s="4" t="str">
        <f t="shared" si="1"/>
        <v>INSERT INTO Asistencia VALUES ('FALTO','2/02/2020','8','54');</v>
      </c>
    </row>
    <row r="14" spans="1:8" ht="15" x14ac:dyDescent="0.25">
      <c r="C14" s="16" t="str">
        <f t="shared" si="0"/>
        <v>TARDANZA</v>
      </c>
      <c r="D14" s="66" t="s">
        <v>519</v>
      </c>
      <c r="E14" s="14">
        <v>9</v>
      </c>
      <c r="F14" s="15">
        <f>RandomSelection(EMPLEADO!$J$4:$J$91)</f>
        <v>9</v>
      </c>
      <c r="H14" s="4" t="str">
        <f t="shared" si="1"/>
        <v>INSERT INTO Asistencia VALUES ('TARDANZA','7/09/2020','9','9');</v>
      </c>
    </row>
    <row r="15" spans="1:8" ht="15" x14ac:dyDescent="0.25">
      <c r="C15" s="16" t="str">
        <f t="shared" si="0"/>
        <v>TARDANZA</v>
      </c>
      <c r="D15" s="66" t="s">
        <v>520</v>
      </c>
      <c r="E15" s="14">
        <v>10</v>
      </c>
      <c r="F15" s="15">
        <f>RandomSelection(EMPLEADO!$J$4:$J$91)</f>
        <v>69</v>
      </c>
      <c r="H15" s="4" t="str">
        <f t="shared" si="1"/>
        <v>INSERT INTO Asistencia VALUES ('TARDANZA','15/11/2020','10','69');</v>
      </c>
    </row>
    <row r="16" spans="1:8" ht="15" x14ac:dyDescent="0.25">
      <c r="C16" s="16" t="str">
        <f t="shared" si="0"/>
        <v>TARDANZA</v>
      </c>
      <c r="D16" s="66" t="s">
        <v>521</v>
      </c>
      <c r="E16" s="14">
        <v>11</v>
      </c>
      <c r="F16" s="15">
        <f>RandomSelection(EMPLEADO!$J$4:$J$91)</f>
        <v>4</v>
      </c>
      <c r="H16" s="4" t="str">
        <f t="shared" si="1"/>
        <v>INSERT INTO Asistencia VALUES ('TARDANZA','13/08/2021','11','4');</v>
      </c>
    </row>
    <row r="17" spans="3:8" ht="15" x14ac:dyDescent="0.25">
      <c r="C17" s="16" t="str">
        <f t="shared" si="0"/>
        <v>TARDANZA</v>
      </c>
      <c r="D17" s="66" t="s">
        <v>522</v>
      </c>
      <c r="E17" s="14">
        <v>12</v>
      </c>
      <c r="F17" s="15">
        <f>RandomSelection(EMPLEADO!$J$4:$J$91)</f>
        <v>29</v>
      </c>
      <c r="H17" s="4" t="str">
        <f t="shared" si="1"/>
        <v>INSERT INTO Asistencia VALUES ('TARDANZA','14/04/2020','12','29');</v>
      </c>
    </row>
    <row r="18" spans="3:8" ht="15" x14ac:dyDescent="0.25">
      <c r="C18" s="16" t="str">
        <f t="shared" si="0"/>
        <v>ASISTIO</v>
      </c>
      <c r="D18" s="66" t="s">
        <v>523</v>
      </c>
      <c r="E18" s="14">
        <v>13</v>
      </c>
      <c r="F18" s="15">
        <f>RandomSelection(EMPLEADO!$J$4:$J$91)</f>
        <v>55</v>
      </c>
      <c r="H18" s="4" t="str">
        <f t="shared" si="1"/>
        <v>INSERT INTO Asistencia VALUES ('ASISTIO','24/08/2020','13','55');</v>
      </c>
    </row>
    <row r="19" spans="3:8" ht="15" x14ac:dyDescent="0.25">
      <c r="C19" s="16" t="str">
        <f t="shared" si="0"/>
        <v>ASISTIO</v>
      </c>
      <c r="D19" s="66" t="s">
        <v>524</v>
      </c>
      <c r="E19" s="14">
        <v>14</v>
      </c>
      <c r="F19" s="15">
        <f>RandomSelection(EMPLEADO!$J$4:$J$91)</f>
        <v>27</v>
      </c>
      <c r="H19" s="4" t="str">
        <f t="shared" si="1"/>
        <v>INSERT INTO Asistencia VALUES ('ASISTIO','3/04/2021','14','27');</v>
      </c>
    </row>
    <row r="20" spans="3:8" ht="15" x14ac:dyDescent="0.25">
      <c r="C20" s="16" t="str">
        <f t="shared" si="0"/>
        <v>ASISTIO</v>
      </c>
      <c r="D20" s="66" t="s">
        <v>525</v>
      </c>
      <c r="E20" s="14">
        <v>15</v>
      </c>
      <c r="F20" s="15">
        <f>RandomSelection(EMPLEADO!$J$4:$J$91)</f>
        <v>8</v>
      </c>
      <c r="H20" s="4" t="str">
        <f t="shared" si="1"/>
        <v>INSERT INTO Asistencia VALUES ('ASISTIO','26/06/2020','15','8');</v>
      </c>
    </row>
    <row r="21" spans="3:8" ht="15" x14ac:dyDescent="0.25">
      <c r="C21" s="16" t="str">
        <f t="shared" si="0"/>
        <v>ASISTIO</v>
      </c>
      <c r="D21" s="66" t="s">
        <v>526</v>
      </c>
      <c r="E21" s="14">
        <v>16</v>
      </c>
      <c r="F21" s="15">
        <f>RandomSelection(EMPLEADO!$J$4:$J$91)</f>
        <v>17</v>
      </c>
      <c r="H21" s="4" t="str">
        <f t="shared" si="1"/>
        <v>INSERT INTO Asistencia VALUES ('ASISTIO','15/10/2021','16','17');</v>
      </c>
    </row>
    <row r="22" spans="3:8" ht="15" x14ac:dyDescent="0.25">
      <c r="C22" s="16" t="str">
        <f t="shared" si="0"/>
        <v>TARDANZA</v>
      </c>
      <c r="D22" s="66" t="s">
        <v>527</v>
      </c>
      <c r="E22" s="14">
        <v>17</v>
      </c>
      <c r="F22" s="15">
        <f>RandomSelection(EMPLEADO!$J$4:$J$91)</f>
        <v>5</v>
      </c>
      <c r="H22" s="4" t="str">
        <f t="shared" si="1"/>
        <v>INSERT INTO Asistencia VALUES ('TARDANZA','1/03/2021','17','5');</v>
      </c>
    </row>
    <row r="23" spans="3:8" ht="15" x14ac:dyDescent="0.25">
      <c r="C23" s="16" t="str">
        <f t="shared" si="0"/>
        <v>FALTO</v>
      </c>
      <c r="D23" s="66" t="s">
        <v>528</v>
      </c>
      <c r="E23" s="14">
        <v>18</v>
      </c>
      <c r="F23" s="15">
        <f>RandomSelection(EMPLEADO!$J$4:$J$91)</f>
        <v>65</v>
      </c>
      <c r="H23" s="4" t="str">
        <f t="shared" si="1"/>
        <v>INSERT INTO Asistencia VALUES ('FALTO','1/05/2020','18','65');</v>
      </c>
    </row>
    <row r="24" spans="3:8" ht="15" x14ac:dyDescent="0.25">
      <c r="C24" s="16" t="str">
        <f t="shared" si="0"/>
        <v>TARDANZA</v>
      </c>
      <c r="D24" s="66" t="s">
        <v>529</v>
      </c>
      <c r="E24" s="14">
        <v>19</v>
      </c>
      <c r="F24" s="15">
        <f>RandomSelection(EMPLEADO!$J$4:$J$91)</f>
        <v>62</v>
      </c>
      <c r="H24" s="4" t="str">
        <f t="shared" si="1"/>
        <v>INSERT INTO Asistencia VALUES ('TARDANZA','22/05/2020','19','62');</v>
      </c>
    </row>
    <row r="25" spans="3:8" ht="15" x14ac:dyDescent="0.25">
      <c r="C25" s="16" t="str">
        <f t="shared" si="0"/>
        <v>ASISTIO</v>
      </c>
      <c r="D25" s="66" t="s">
        <v>530</v>
      </c>
      <c r="E25" s="14">
        <v>20</v>
      </c>
      <c r="F25" s="15">
        <f>RandomSelection(EMPLEADO!$J$4:$J$91)</f>
        <v>29</v>
      </c>
      <c r="H25" s="4" t="str">
        <f t="shared" si="1"/>
        <v>INSERT INTO Asistencia VALUES ('ASISTIO','4/03/2020','20','29');</v>
      </c>
    </row>
    <row r="26" spans="3:8" ht="15" x14ac:dyDescent="0.25">
      <c r="C26" s="16" t="str">
        <f t="shared" si="0"/>
        <v>FALTO</v>
      </c>
      <c r="D26" s="66" t="s">
        <v>531</v>
      </c>
      <c r="E26" s="14">
        <v>21</v>
      </c>
      <c r="F26" s="15">
        <f>RandomSelection(EMPLEADO!$J$4:$J$91)</f>
        <v>2</v>
      </c>
      <c r="H26" s="4" t="str">
        <f t="shared" si="1"/>
        <v>INSERT INTO Asistencia VALUES ('FALTO','10/04/2020','21','2');</v>
      </c>
    </row>
    <row r="27" spans="3:8" ht="15" x14ac:dyDescent="0.25">
      <c r="C27" s="16" t="str">
        <f t="shared" si="0"/>
        <v>ASISTIO</v>
      </c>
      <c r="D27" s="66" t="s">
        <v>532</v>
      </c>
      <c r="E27" s="14">
        <v>22</v>
      </c>
      <c r="F27" s="15">
        <f>RandomSelection(EMPLEADO!$J$4:$J$91)</f>
        <v>86</v>
      </c>
      <c r="H27" s="4" t="str">
        <f t="shared" si="1"/>
        <v>INSERT INTO Asistencia VALUES ('ASISTIO','13/09/2020','22','86');</v>
      </c>
    </row>
    <row r="28" spans="3:8" ht="15" x14ac:dyDescent="0.25">
      <c r="C28" s="16" t="str">
        <f t="shared" si="0"/>
        <v>ASISTIO</v>
      </c>
      <c r="D28" s="66" t="s">
        <v>533</v>
      </c>
      <c r="E28" s="14">
        <v>23</v>
      </c>
      <c r="F28" s="15">
        <f>RandomSelection(EMPLEADO!$J$4:$J$91)</f>
        <v>44</v>
      </c>
      <c r="H28" s="4" t="str">
        <f t="shared" si="1"/>
        <v>INSERT INTO Asistencia VALUES ('ASISTIO','4/05/2021','23','44');</v>
      </c>
    </row>
    <row r="29" spans="3:8" ht="15" x14ac:dyDescent="0.25">
      <c r="C29" s="16" t="str">
        <f t="shared" si="0"/>
        <v>ASISTIO</v>
      </c>
      <c r="D29" s="66" t="s">
        <v>534</v>
      </c>
      <c r="E29" s="14">
        <v>24</v>
      </c>
      <c r="F29" s="15">
        <f>RandomSelection(EMPLEADO!$J$4:$J$91)</f>
        <v>81</v>
      </c>
      <c r="H29" s="4" t="str">
        <f t="shared" si="1"/>
        <v>INSERT INTO Asistencia VALUES ('ASISTIO','2/07/2021','24','81');</v>
      </c>
    </row>
    <row r="30" spans="3:8" ht="15" x14ac:dyDescent="0.25">
      <c r="C30" s="16" t="str">
        <f t="shared" si="0"/>
        <v>ASISTIO</v>
      </c>
      <c r="D30" s="66" t="s">
        <v>535</v>
      </c>
      <c r="E30" s="14">
        <v>25</v>
      </c>
      <c r="F30" s="15">
        <f>RandomSelection(EMPLEADO!$J$4:$J$91)</f>
        <v>50</v>
      </c>
      <c r="H30" s="4" t="str">
        <f t="shared" si="1"/>
        <v>INSERT INTO Asistencia VALUES ('ASISTIO','8/10/2021','25','50');</v>
      </c>
    </row>
    <row r="31" spans="3:8" ht="15" x14ac:dyDescent="0.25">
      <c r="C31" s="16" t="str">
        <f t="shared" si="0"/>
        <v>TARDANZA</v>
      </c>
      <c r="D31" s="66" t="s">
        <v>536</v>
      </c>
      <c r="E31" s="14">
        <v>26</v>
      </c>
      <c r="F31" s="15">
        <f>RandomSelection(EMPLEADO!$J$4:$J$91)</f>
        <v>22</v>
      </c>
      <c r="H31" s="4" t="str">
        <f t="shared" si="1"/>
        <v>INSERT INTO Asistencia VALUES ('TARDANZA','8/07/2021','26','22');</v>
      </c>
    </row>
    <row r="32" spans="3:8" ht="15" x14ac:dyDescent="0.25">
      <c r="C32" s="16" t="str">
        <f t="shared" si="0"/>
        <v>TARDANZA</v>
      </c>
      <c r="D32" s="66" t="s">
        <v>537</v>
      </c>
      <c r="E32" s="14">
        <v>27</v>
      </c>
      <c r="F32" s="15">
        <f>RandomSelection(EMPLEADO!$J$4:$J$91)</f>
        <v>6</v>
      </c>
      <c r="H32" s="4" t="str">
        <f t="shared" si="1"/>
        <v>INSERT INTO Asistencia VALUES ('TARDANZA','25/01/2021','27','6');</v>
      </c>
    </row>
    <row r="33" spans="3:8" ht="15" x14ac:dyDescent="0.25">
      <c r="C33" s="16" t="str">
        <f t="shared" si="0"/>
        <v>TARDANZA</v>
      </c>
      <c r="D33" s="66" t="s">
        <v>538</v>
      </c>
      <c r="E33" s="14">
        <v>28</v>
      </c>
      <c r="F33" s="15">
        <f>RandomSelection(EMPLEADO!$J$4:$J$91)</f>
        <v>15</v>
      </c>
      <c r="H33" s="4" t="str">
        <f t="shared" si="1"/>
        <v>INSERT INTO Asistencia VALUES ('TARDANZA','23/03/2021','28','15');</v>
      </c>
    </row>
    <row r="34" spans="3:8" ht="15" x14ac:dyDescent="0.25">
      <c r="C34" s="16" t="str">
        <f t="shared" si="0"/>
        <v>TARDANZA</v>
      </c>
      <c r="D34" s="66" t="s">
        <v>539</v>
      </c>
      <c r="E34" s="14">
        <v>29</v>
      </c>
      <c r="F34" s="15">
        <f>RandomSelection(EMPLEADO!$J$4:$J$91)</f>
        <v>19</v>
      </c>
      <c r="H34" s="4" t="str">
        <f t="shared" si="1"/>
        <v>INSERT INTO Asistencia VALUES ('TARDANZA','30/03/2020','29','19');</v>
      </c>
    </row>
    <row r="35" spans="3:8" ht="15" x14ac:dyDescent="0.25">
      <c r="C35" s="16" t="str">
        <f t="shared" si="0"/>
        <v>ASISTIO</v>
      </c>
      <c r="D35" s="66" t="s">
        <v>542</v>
      </c>
      <c r="E35" s="14">
        <v>30</v>
      </c>
      <c r="F35" s="15">
        <f>RandomSelection(EMPLEADO!$J$4:$J$91)</f>
        <v>79</v>
      </c>
      <c r="H35" s="4" t="str">
        <f t="shared" si="1"/>
        <v>INSERT INTO Asistencia VALUES ('ASISTIO','2/04/2020','30','79');</v>
      </c>
    </row>
    <row r="36" spans="3:8" ht="15" x14ac:dyDescent="0.25">
      <c r="C36" s="16" t="str">
        <f t="shared" si="0"/>
        <v>FALTO</v>
      </c>
      <c r="D36" s="66" t="s">
        <v>513</v>
      </c>
      <c r="E36" s="14">
        <v>31</v>
      </c>
      <c r="F36" s="15">
        <f>RandomSelection(EMPLEADO!$J$4:$J$91)</f>
        <v>33</v>
      </c>
      <c r="H36" s="4" t="str">
        <f t="shared" si="1"/>
        <v>INSERT INTO Asistencia VALUES ('FALTO','3/05/2020','31','33');</v>
      </c>
    </row>
    <row r="37" spans="3:8" ht="15" x14ac:dyDescent="0.25">
      <c r="C37" s="16" t="str">
        <f t="shared" si="0"/>
        <v>FALTO</v>
      </c>
      <c r="D37" s="66" t="s">
        <v>540</v>
      </c>
      <c r="E37" s="14">
        <v>32</v>
      </c>
      <c r="F37" s="15">
        <f>RandomSelection(EMPLEADO!$J$4:$J$91)</f>
        <v>13</v>
      </c>
      <c r="H37" s="4" t="str">
        <f t="shared" si="1"/>
        <v>INSERT INTO Asistencia VALUES ('FALTO','30/07/2021','32','13');</v>
      </c>
    </row>
    <row r="38" spans="3:8" ht="15" x14ac:dyDescent="0.25">
      <c r="C38" s="16" t="str">
        <f t="shared" si="0"/>
        <v>TARDANZA</v>
      </c>
      <c r="D38" s="66" t="s">
        <v>541</v>
      </c>
      <c r="E38" s="14">
        <v>33</v>
      </c>
      <c r="F38" s="15">
        <f>RandomSelection(EMPLEADO!$J$4:$J$91)</f>
        <v>48</v>
      </c>
      <c r="H38" s="4" t="str">
        <f t="shared" si="1"/>
        <v>INSERT INTO Asistencia VALUES ('TARDANZA','30/05/2020','33','48');</v>
      </c>
    </row>
    <row r="39" spans="3:8" ht="15" x14ac:dyDescent="0.25">
      <c r="C39" s="16" t="str">
        <f t="shared" si="0"/>
        <v>FALTO</v>
      </c>
      <c r="D39" s="66" t="s">
        <v>542</v>
      </c>
      <c r="E39" s="14">
        <v>34</v>
      </c>
      <c r="F39" s="15">
        <f>RandomSelection(EMPLEADO!$J$4:$J$91)</f>
        <v>20</v>
      </c>
      <c r="H39" s="4" t="str">
        <f t="shared" si="1"/>
        <v>INSERT INTO Asistencia VALUES ('FALTO','2/04/2020','34','20');</v>
      </c>
    </row>
    <row r="40" spans="3:8" ht="15" x14ac:dyDescent="0.25">
      <c r="C40" s="16" t="str">
        <f t="shared" si="0"/>
        <v>FALTO</v>
      </c>
      <c r="D40" s="66" t="s">
        <v>543</v>
      </c>
      <c r="E40" s="14">
        <v>35</v>
      </c>
      <c r="F40" s="15">
        <f>RandomSelection(EMPLEADO!$J$4:$J$91)</f>
        <v>36</v>
      </c>
      <c r="H40" s="4" t="str">
        <f t="shared" si="1"/>
        <v>INSERT INTO Asistencia VALUES ('FALTO','16/06/2020','35','36');</v>
      </c>
    </row>
    <row r="41" spans="3:8" ht="15" x14ac:dyDescent="0.25">
      <c r="C41" s="16" t="str">
        <f t="shared" si="0"/>
        <v>ASISTIO</v>
      </c>
      <c r="D41" s="66" t="s">
        <v>544</v>
      </c>
      <c r="E41" s="14">
        <v>36</v>
      </c>
      <c r="F41" s="15">
        <f>RandomSelection(EMPLEADO!$J$4:$J$91)</f>
        <v>41</v>
      </c>
      <c r="H41" s="4" t="str">
        <f t="shared" si="1"/>
        <v>INSERT INTO Asistencia VALUES ('ASISTIO','10/05/2020','36','41');</v>
      </c>
    </row>
    <row r="42" spans="3:8" ht="15" x14ac:dyDescent="0.25">
      <c r="C42" s="16" t="str">
        <f t="shared" si="0"/>
        <v>FALTO</v>
      </c>
      <c r="D42" s="66" t="s">
        <v>545</v>
      </c>
      <c r="E42" s="14">
        <v>37</v>
      </c>
      <c r="F42" s="15">
        <f>RandomSelection(EMPLEADO!$J$4:$J$91)</f>
        <v>24</v>
      </c>
      <c r="H42" s="4" t="str">
        <f t="shared" si="1"/>
        <v>INSERT INTO Asistencia VALUES ('FALTO','24/12/2021','37','24');</v>
      </c>
    </row>
    <row r="43" spans="3:8" ht="15" x14ac:dyDescent="0.25">
      <c r="C43" s="16" t="str">
        <f t="shared" si="0"/>
        <v>FALTO</v>
      </c>
      <c r="D43" s="66" t="s">
        <v>546</v>
      </c>
      <c r="E43" s="14">
        <v>38</v>
      </c>
      <c r="F43" s="15">
        <f>RandomSelection(EMPLEADO!$J$4:$J$91)</f>
        <v>84</v>
      </c>
      <c r="H43" s="4" t="str">
        <f t="shared" si="1"/>
        <v>INSERT INTO Asistencia VALUES ('FALTO','19/08/2021','38','84');</v>
      </c>
    </row>
    <row r="44" spans="3:8" ht="15" x14ac:dyDescent="0.25">
      <c r="C44" s="16" t="str">
        <f t="shared" si="0"/>
        <v>ASISTIO</v>
      </c>
      <c r="D44" s="66" t="s">
        <v>547</v>
      </c>
      <c r="E44" s="14">
        <v>39</v>
      </c>
      <c r="F44" s="15">
        <f>RandomSelection(EMPLEADO!$J$4:$J$91)</f>
        <v>69</v>
      </c>
      <c r="H44" s="4" t="str">
        <f t="shared" si="1"/>
        <v>INSERT INTO Asistencia VALUES ('ASISTIO','9/06/2020','39','69');</v>
      </c>
    </row>
    <row r="45" spans="3:8" ht="15" x14ac:dyDescent="0.25">
      <c r="C45" s="16" t="str">
        <f t="shared" si="0"/>
        <v>TARDANZA</v>
      </c>
      <c r="D45" s="66" t="s">
        <v>544</v>
      </c>
      <c r="E45" s="14">
        <v>40</v>
      </c>
      <c r="F45" s="15">
        <f>RandomSelection(EMPLEADO!$J$4:$J$91)</f>
        <v>47</v>
      </c>
      <c r="H45" s="4" t="str">
        <f t="shared" si="1"/>
        <v>INSERT INTO Asistencia VALUES ('TARDANZA','10/05/2020','40','47');</v>
      </c>
    </row>
    <row r="46" spans="3:8" ht="15" x14ac:dyDescent="0.25">
      <c r="C46" s="16" t="str">
        <f t="shared" si="0"/>
        <v>TARDANZA</v>
      </c>
      <c r="D46" s="66" t="s">
        <v>548</v>
      </c>
      <c r="E46" s="14">
        <v>41</v>
      </c>
      <c r="F46" s="15">
        <f>RandomSelection(EMPLEADO!$J$4:$J$91)</f>
        <v>31</v>
      </c>
      <c r="H46" s="4" t="str">
        <f t="shared" si="1"/>
        <v>INSERT INTO Asistencia VALUES ('TARDANZA','18/12/2020','41','31');</v>
      </c>
    </row>
    <row r="47" spans="3:8" ht="15" x14ac:dyDescent="0.25">
      <c r="C47" s="16" t="str">
        <f t="shared" si="0"/>
        <v>TARDANZA</v>
      </c>
      <c r="D47" s="66" t="s">
        <v>549</v>
      </c>
      <c r="E47" s="14">
        <v>42</v>
      </c>
      <c r="F47" s="15">
        <f>RandomSelection(EMPLEADO!$J$4:$J$91)</f>
        <v>3</v>
      </c>
      <c r="H47" s="4" t="str">
        <f t="shared" si="1"/>
        <v>INSERT INTO Asistencia VALUES ('TARDANZA','7/12/2021','42','3');</v>
      </c>
    </row>
    <row r="48" spans="3:8" ht="15" x14ac:dyDescent="0.25">
      <c r="C48" s="16" t="str">
        <f t="shared" si="0"/>
        <v>FALTO</v>
      </c>
      <c r="D48" s="66" t="s">
        <v>550</v>
      </c>
      <c r="E48" s="14">
        <v>43</v>
      </c>
      <c r="F48" s="15">
        <f>RandomSelection(EMPLEADO!$J$4:$J$91)</f>
        <v>85</v>
      </c>
      <c r="H48" s="4" t="str">
        <f t="shared" si="1"/>
        <v>INSERT INTO Asistencia VALUES ('FALTO','10/03/2021','43','85');</v>
      </c>
    </row>
    <row r="49" spans="3:8" ht="15" x14ac:dyDescent="0.25">
      <c r="C49" s="16" t="str">
        <f t="shared" si="0"/>
        <v>ASISTIO</v>
      </c>
      <c r="D49" s="66" t="s">
        <v>551</v>
      </c>
      <c r="E49" s="14">
        <v>44</v>
      </c>
      <c r="F49" s="15">
        <f>RandomSelection(EMPLEADO!$J$4:$J$91)</f>
        <v>52</v>
      </c>
      <c r="H49" s="4" t="str">
        <f t="shared" si="1"/>
        <v>INSERT INTO Asistencia VALUES ('ASISTIO','7/09/2021','44','52');</v>
      </c>
    </row>
    <row r="50" spans="3:8" ht="15" x14ac:dyDescent="0.25">
      <c r="C50" s="16" t="str">
        <f t="shared" si="0"/>
        <v>FALTO</v>
      </c>
      <c r="D50" s="66" t="s">
        <v>552</v>
      </c>
      <c r="E50" s="14">
        <v>45</v>
      </c>
      <c r="F50" s="15">
        <f>RandomSelection(EMPLEADO!$J$4:$J$91)</f>
        <v>75</v>
      </c>
      <c r="H50" s="4" t="str">
        <f t="shared" si="1"/>
        <v>INSERT INTO Asistencia VALUES ('FALTO','8/04/2021','45','75');</v>
      </c>
    </row>
    <row r="51" spans="3:8" ht="15" x14ac:dyDescent="0.25">
      <c r="C51" s="16" t="str">
        <f t="shared" si="0"/>
        <v>FALTO</v>
      </c>
      <c r="D51" s="66" t="s">
        <v>544</v>
      </c>
      <c r="E51" s="14">
        <v>46</v>
      </c>
      <c r="F51" s="15">
        <f>RandomSelection(EMPLEADO!$J$4:$J$91)</f>
        <v>47</v>
      </c>
      <c r="H51" s="4" t="str">
        <f t="shared" si="1"/>
        <v>INSERT INTO Asistencia VALUES ('FALTO','10/05/2020','46','47');</v>
      </c>
    </row>
    <row r="52" spans="3:8" ht="15" x14ac:dyDescent="0.25">
      <c r="C52" s="16" t="str">
        <f t="shared" si="0"/>
        <v>TARDANZA</v>
      </c>
      <c r="D52" s="66" t="s">
        <v>553</v>
      </c>
      <c r="E52" s="14">
        <v>47</v>
      </c>
      <c r="F52" s="15">
        <f>RandomSelection(EMPLEADO!$J$4:$J$91)</f>
        <v>85</v>
      </c>
      <c r="H52" s="4" t="str">
        <f t="shared" si="1"/>
        <v>INSERT INTO Asistencia VALUES ('TARDANZA','11/01/2021','47','85');</v>
      </c>
    </row>
    <row r="53" spans="3:8" ht="15" x14ac:dyDescent="0.25">
      <c r="C53" s="16" t="str">
        <f t="shared" si="0"/>
        <v>ASISTIO</v>
      </c>
      <c r="D53" s="66" t="s">
        <v>554</v>
      </c>
      <c r="E53" s="14">
        <v>48</v>
      </c>
      <c r="F53" s="15">
        <f>RandomSelection(EMPLEADO!$J$4:$J$91)</f>
        <v>37</v>
      </c>
      <c r="H53" s="4" t="str">
        <f t="shared" si="1"/>
        <v>INSERT INTO Asistencia VALUES ('ASISTIO','26/09/2020','48','37');</v>
      </c>
    </row>
    <row r="54" spans="3:8" ht="15" x14ac:dyDescent="0.25">
      <c r="C54" s="16" t="str">
        <f t="shared" si="0"/>
        <v>ASISTIO</v>
      </c>
      <c r="D54" s="66" t="s">
        <v>549</v>
      </c>
      <c r="E54" s="14">
        <v>49</v>
      </c>
      <c r="F54" s="15">
        <f>RandomSelection(EMPLEADO!$J$4:$J$91)</f>
        <v>32</v>
      </c>
      <c r="H54" s="4" t="str">
        <f t="shared" si="1"/>
        <v>INSERT INTO Asistencia VALUES ('ASISTIO','7/12/2021','49','32');</v>
      </c>
    </row>
    <row r="55" spans="3:8" ht="15" x14ac:dyDescent="0.25">
      <c r="C55" s="16" t="str">
        <f t="shared" si="0"/>
        <v>FALTO</v>
      </c>
      <c r="D55" s="66" t="s">
        <v>555</v>
      </c>
      <c r="E55" s="14">
        <v>50</v>
      </c>
      <c r="F55" s="15">
        <f>RandomSelection(EMPLEADO!$J$4:$J$91)</f>
        <v>27</v>
      </c>
      <c r="H55" s="4" t="str">
        <f t="shared" si="1"/>
        <v>INSERT INTO Asistencia VALUES ('FALTO','10/01/2021','50','27');</v>
      </c>
    </row>
    <row r="56" spans="3:8" ht="15" x14ac:dyDescent="0.25">
      <c r="C56" s="16" t="str">
        <f t="shared" si="0"/>
        <v>TARDANZA</v>
      </c>
      <c r="D56" s="66" t="s">
        <v>556</v>
      </c>
      <c r="E56" s="14">
        <v>51</v>
      </c>
      <c r="F56" s="15">
        <f>RandomSelection(EMPLEADO!$J$4:$J$91)</f>
        <v>72</v>
      </c>
      <c r="H56" s="4" t="str">
        <f t="shared" si="1"/>
        <v>INSERT INTO Asistencia VALUES ('TARDANZA','19/12/2020','51','72');</v>
      </c>
    </row>
    <row r="57" spans="3:8" ht="15" x14ac:dyDescent="0.25">
      <c r="C57" s="16" t="str">
        <f t="shared" si="0"/>
        <v>ASISTIO</v>
      </c>
      <c r="D57" s="66" t="s">
        <v>557</v>
      </c>
      <c r="E57" s="14">
        <v>52</v>
      </c>
      <c r="F57" s="15">
        <f>RandomSelection(EMPLEADO!$J$4:$J$91)</f>
        <v>80</v>
      </c>
      <c r="H57" s="4" t="str">
        <f t="shared" si="1"/>
        <v>INSERT INTO Asistencia VALUES ('ASISTIO','6/08/2021','52','80');</v>
      </c>
    </row>
    <row r="58" spans="3:8" ht="15" x14ac:dyDescent="0.25">
      <c r="C58" s="16" t="str">
        <f t="shared" si="0"/>
        <v>ASISTIO</v>
      </c>
      <c r="D58" s="66" t="s">
        <v>558</v>
      </c>
      <c r="E58" s="14">
        <v>53</v>
      </c>
      <c r="F58" s="15">
        <f>RandomSelection(EMPLEADO!$J$4:$J$91)</f>
        <v>51</v>
      </c>
      <c r="H58" s="4" t="str">
        <f t="shared" si="1"/>
        <v>INSERT INTO Asistencia VALUES ('ASISTIO','22/05/2021','53','51');</v>
      </c>
    </row>
    <row r="59" spans="3:8" ht="15" x14ac:dyDescent="0.25">
      <c r="C59" s="16" t="str">
        <f t="shared" si="0"/>
        <v>FALTO</v>
      </c>
      <c r="D59" s="66" t="s">
        <v>559</v>
      </c>
      <c r="E59" s="14">
        <v>54</v>
      </c>
      <c r="F59" s="15">
        <f>RandomSelection(EMPLEADO!$J$4:$J$91)</f>
        <v>23</v>
      </c>
      <c r="H59" s="4" t="str">
        <f t="shared" si="1"/>
        <v>INSERT INTO Asistencia VALUES ('FALTO','29/10/2020','54','23');</v>
      </c>
    </row>
    <row r="60" spans="3:8" ht="15" x14ac:dyDescent="0.25">
      <c r="C60" s="16" t="str">
        <f t="shared" si="0"/>
        <v>TARDANZA</v>
      </c>
      <c r="D60" s="66" t="s">
        <v>560</v>
      </c>
      <c r="E60" s="14">
        <v>55</v>
      </c>
      <c r="F60" s="15">
        <f>RandomSelection(EMPLEADO!$J$4:$J$91)</f>
        <v>1</v>
      </c>
      <c r="H60" s="4" t="str">
        <f t="shared" si="1"/>
        <v>INSERT INTO Asistencia VALUES ('TARDANZA','23/04/2020','55','1');</v>
      </c>
    </row>
    <row r="61" spans="3:8" ht="15" x14ac:dyDescent="0.25">
      <c r="C61" s="16" t="str">
        <f t="shared" si="0"/>
        <v>FALTO</v>
      </c>
      <c r="D61" s="66" t="s">
        <v>561</v>
      </c>
      <c r="E61" s="14">
        <v>56</v>
      </c>
      <c r="F61" s="15">
        <f>RandomSelection(EMPLEADO!$J$4:$J$91)</f>
        <v>17</v>
      </c>
      <c r="H61" s="4" t="str">
        <f t="shared" si="1"/>
        <v>INSERT INTO Asistencia VALUES ('FALTO','25/12/2020','56','17');</v>
      </c>
    </row>
    <row r="62" spans="3:8" ht="15" x14ac:dyDescent="0.25">
      <c r="C62" s="16" t="str">
        <f t="shared" si="0"/>
        <v>FALTO</v>
      </c>
      <c r="D62" s="66" t="s">
        <v>562</v>
      </c>
      <c r="E62" s="14">
        <v>57</v>
      </c>
      <c r="F62" s="15">
        <f>RandomSelection(EMPLEADO!$J$4:$J$91)</f>
        <v>40</v>
      </c>
      <c r="H62" s="4" t="str">
        <f t="shared" si="1"/>
        <v>INSERT INTO Asistencia VALUES ('FALTO','15/11/2021','57','40');</v>
      </c>
    </row>
    <row r="63" spans="3:8" ht="15" x14ac:dyDescent="0.25">
      <c r="C63" s="16" t="str">
        <f t="shared" si="0"/>
        <v>TARDANZA</v>
      </c>
      <c r="D63" s="66" t="s">
        <v>563</v>
      </c>
      <c r="E63" s="14">
        <v>58</v>
      </c>
      <c r="F63" s="15">
        <f>RandomSelection(EMPLEADO!$J$4:$J$91)</f>
        <v>12</v>
      </c>
      <c r="H63" s="4" t="str">
        <f t="shared" si="1"/>
        <v>INSERT INTO Asistencia VALUES ('TARDANZA','8/04/2020','58','12');</v>
      </c>
    </row>
    <row r="64" spans="3:8" ht="15" x14ac:dyDescent="0.25">
      <c r="C64" s="16" t="str">
        <f t="shared" si="0"/>
        <v>FALTO</v>
      </c>
      <c r="D64" s="66" t="s">
        <v>564</v>
      </c>
      <c r="E64" s="14">
        <v>59</v>
      </c>
      <c r="F64" s="15">
        <f>RandomSelection(EMPLEADO!$J$4:$J$91)</f>
        <v>67</v>
      </c>
      <c r="H64" s="4" t="str">
        <f t="shared" si="1"/>
        <v>INSERT INTO Asistencia VALUES ('FALTO','12/07/2020','59','67');</v>
      </c>
    </row>
    <row r="65" spans="3:8" ht="15" x14ac:dyDescent="0.25">
      <c r="C65" s="16" t="str">
        <f t="shared" si="0"/>
        <v>FALTO</v>
      </c>
      <c r="D65" s="66" t="s">
        <v>565</v>
      </c>
      <c r="E65" s="14">
        <v>60</v>
      </c>
      <c r="F65" s="15">
        <f>RandomSelection(EMPLEADO!$J$4:$J$91)</f>
        <v>5</v>
      </c>
      <c r="H65" s="4" t="str">
        <f t="shared" si="1"/>
        <v>INSERT INTO Asistencia VALUES ('FALTO','12/08/2021','60','5');</v>
      </c>
    </row>
    <row r="66" spans="3:8" ht="15" x14ac:dyDescent="0.25">
      <c r="C66" s="16" t="str">
        <f t="shared" si="0"/>
        <v>TARDANZA</v>
      </c>
      <c r="D66" s="66" t="s">
        <v>566</v>
      </c>
      <c r="E66" s="14">
        <v>61</v>
      </c>
      <c r="F66" s="15">
        <f>RandomSelection(EMPLEADO!$J$4:$J$91)</f>
        <v>71</v>
      </c>
      <c r="H66" s="4" t="str">
        <f t="shared" si="1"/>
        <v>INSERT INTO Asistencia VALUES ('TARDANZA','2/08/2021','61','71');</v>
      </c>
    </row>
    <row r="67" spans="3:8" ht="15" x14ac:dyDescent="0.25">
      <c r="C67" s="16" t="str">
        <f t="shared" si="0"/>
        <v>ASISTIO</v>
      </c>
      <c r="D67" s="66" t="s">
        <v>567</v>
      </c>
      <c r="E67" s="14">
        <v>62</v>
      </c>
      <c r="F67" s="15">
        <f>RandomSelection(EMPLEADO!$J$4:$J$91)</f>
        <v>43</v>
      </c>
      <c r="H67" s="4" t="str">
        <f t="shared" si="1"/>
        <v>INSERT INTO Asistencia VALUES ('ASISTIO','18/05/2021','62','43');</v>
      </c>
    </row>
    <row r="68" spans="3:8" ht="15" x14ac:dyDescent="0.25">
      <c r="C68" s="16" t="str">
        <f t="shared" si="0"/>
        <v>ASISTIO</v>
      </c>
      <c r="D68" s="66" t="s">
        <v>568</v>
      </c>
      <c r="E68" s="14">
        <v>63</v>
      </c>
      <c r="F68" s="15">
        <f>RandomSelection(EMPLEADO!$J$4:$J$91)</f>
        <v>88</v>
      </c>
      <c r="H68" s="4" t="str">
        <f t="shared" si="1"/>
        <v>INSERT INTO Asistencia VALUES ('ASISTIO','1/03/2020','63','88');</v>
      </c>
    </row>
    <row r="69" spans="3:8" ht="15" x14ac:dyDescent="0.25">
      <c r="C69" s="16" t="str">
        <f t="shared" si="0"/>
        <v>TARDANZA</v>
      </c>
      <c r="D69" s="66" t="s">
        <v>569</v>
      </c>
      <c r="E69" s="14">
        <v>64</v>
      </c>
      <c r="F69" s="15">
        <f>RandomSelection(EMPLEADO!$J$4:$J$91)</f>
        <v>66</v>
      </c>
      <c r="H69" s="4" t="str">
        <f t="shared" si="1"/>
        <v>INSERT INTO Asistencia VALUES ('TARDANZA','26/06/2021','64','66');</v>
      </c>
    </row>
    <row r="70" spans="3:8" ht="15" x14ac:dyDescent="0.25">
      <c r="C70" s="16" t="str">
        <f t="shared" si="0"/>
        <v>FALTO</v>
      </c>
      <c r="D70" s="66" t="s">
        <v>570</v>
      </c>
      <c r="E70" s="14">
        <v>65</v>
      </c>
      <c r="F70" s="15">
        <f>RandomSelection(EMPLEADO!$J$4:$J$91)</f>
        <v>66</v>
      </c>
      <c r="H70" s="4" t="str">
        <f t="shared" si="1"/>
        <v>INSERT INTO Asistencia VALUES ('FALTO','19/01/2020','65','66');</v>
      </c>
    </row>
    <row r="71" spans="3:8" ht="15" x14ac:dyDescent="0.25">
      <c r="C71" s="16" t="str">
        <f t="shared" ref="C71:C134" si="2">RandomSelection($A$6:$A$8)</f>
        <v>ASISTIO</v>
      </c>
      <c r="D71" s="66" t="s">
        <v>571</v>
      </c>
      <c r="E71" s="14">
        <v>66</v>
      </c>
      <c r="F71" s="15">
        <f>RandomSelection(EMPLEADO!$J$4:$J$91)</f>
        <v>38</v>
      </c>
      <c r="H71" s="4" t="str">
        <f t="shared" ref="H71:H134" si="3">"INSERT INTO Asistencia VALUES ('"&amp;C71&amp;"','"&amp;D71&amp;"','"&amp;E71&amp;"','"&amp;F71&amp;"');"</f>
        <v>INSERT INTO Asistencia VALUES ('ASISTIO','7/04/2021','66','38');</v>
      </c>
    </row>
    <row r="72" spans="3:8" ht="15" x14ac:dyDescent="0.25">
      <c r="C72" s="16" t="str">
        <f t="shared" si="2"/>
        <v>ASISTIO</v>
      </c>
      <c r="D72" s="66" t="s">
        <v>572</v>
      </c>
      <c r="E72" s="14">
        <v>67</v>
      </c>
      <c r="F72" s="15">
        <f>RandomSelection(EMPLEADO!$J$4:$J$91)</f>
        <v>56</v>
      </c>
      <c r="H72" s="4" t="str">
        <f t="shared" si="3"/>
        <v>INSERT INTO Asistencia VALUES ('ASISTIO','1/01/2020','67','56');</v>
      </c>
    </row>
    <row r="73" spans="3:8" ht="15" x14ac:dyDescent="0.25">
      <c r="C73" s="16" t="str">
        <f t="shared" si="2"/>
        <v>ASISTIO</v>
      </c>
      <c r="D73" s="66" t="s">
        <v>573</v>
      </c>
      <c r="E73" s="14">
        <v>68</v>
      </c>
      <c r="F73" s="15">
        <f>RandomSelection(EMPLEADO!$J$4:$J$91)</f>
        <v>35</v>
      </c>
      <c r="H73" s="4" t="str">
        <f t="shared" si="3"/>
        <v>INSERT INTO Asistencia VALUES ('ASISTIO','4/12/2020','68','35');</v>
      </c>
    </row>
    <row r="74" spans="3:8" ht="15" x14ac:dyDescent="0.25">
      <c r="C74" s="16" t="str">
        <f t="shared" si="2"/>
        <v>FALTO</v>
      </c>
      <c r="D74" s="66" t="s">
        <v>574</v>
      </c>
      <c r="E74" s="14">
        <v>69</v>
      </c>
      <c r="F74" s="15">
        <f>RandomSelection(EMPLEADO!$J$4:$J$91)</f>
        <v>17</v>
      </c>
      <c r="H74" s="4" t="str">
        <f t="shared" si="3"/>
        <v>INSERT INTO Asistencia VALUES ('FALTO','17/10/2021','69','17');</v>
      </c>
    </row>
    <row r="75" spans="3:8" ht="15" x14ac:dyDescent="0.25">
      <c r="C75" s="16" t="str">
        <f t="shared" si="2"/>
        <v>ASISTIO</v>
      </c>
      <c r="D75" s="66" t="s">
        <v>575</v>
      </c>
      <c r="E75" s="14">
        <v>70</v>
      </c>
      <c r="F75" s="15">
        <f>RandomSelection(EMPLEADO!$J$4:$J$91)</f>
        <v>77</v>
      </c>
      <c r="H75" s="4" t="str">
        <f t="shared" si="3"/>
        <v>INSERT INTO Asistencia VALUES ('ASISTIO','25/03/2021','70','77');</v>
      </c>
    </row>
    <row r="76" spans="3:8" ht="15" x14ac:dyDescent="0.25">
      <c r="C76" s="16" t="str">
        <f t="shared" si="2"/>
        <v>TARDANZA</v>
      </c>
      <c r="D76" s="66" t="s">
        <v>576</v>
      </c>
      <c r="E76" s="14">
        <v>71</v>
      </c>
      <c r="F76" s="15">
        <f>RandomSelection(EMPLEADO!$J$4:$J$91)</f>
        <v>17</v>
      </c>
      <c r="H76" s="4" t="str">
        <f t="shared" si="3"/>
        <v>INSERT INTO Asistencia VALUES ('TARDANZA','26/01/2021','71','17');</v>
      </c>
    </row>
    <row r="77" spans="3:8" ht="15" x14ac:dyDescent="0.25">
      <c r="C77" s="16" t="str">
        <f t="shared" si="2"/>
        <v>FALTO</v>
      </c>
      <c r="D77" s="66" t="s">
        <v>577</v>
      </c>
      <c r="E77" s="14">
        <v>72</v>
      </c>
      <c r="F77" s="15">
        <f>RandomSelection(EMPLEADO!$J$4:$J$91)</f>
        <v>39</v>
      </c>
      <c r="H77" s="4" t="str">
        <f t="shared" si="3"/>
        <v>INSERT INTO Asistencia VALUES ('FALTO','22/08/2021','72','39');</v>
      </c>
    </row>
    <row r="78" spans="3:8" ht="15" x14ac:dyDescent="0.25">
      <c r="C78" s="16" t="str">
        <f t="shared" si="2"/>
        <v>ASISTIO</v>
      </c>
      <c r="D78" s="66" t="s">
        <v>571</v>
      </c>
      <c r="E78" s="14">
        <v>73</v>
      </c>
      <c r="F78" s="15">
        <f>RandomSelection(EMPLEADO!$J$4:$J$91)</f>
        <v>54</v>
      </c>
      <c r="H78" s="4" t="str">
        <f t="shared" si="3"/>
        <v>INSERT INTO Asistencia VALUES ('ASISTIO','7/04/2021','73','54');</v>
      </c>
    </row>
    <row r="79" spans="3:8" ht="15" x14ac:dyDescent="0.25">
      <c r="C79" s="16" t="str">
        <f t="shared" si="2"/>
        <v>ASISTIO</v>
      </c>
      <c r="D79" s="66" t="s">
        <v>578</v>
      </c>
      <c r="E79" s="14">
        <v>74</v>
      </c>
      <c r="F79" s="15">
        <f>RandomSelection(EMPLEADO!$J$4:$J$91)</f>
        <v>26</v>
      </c>
      <c r="H79" s="4" t="str">
        <f t="shared" si="3"/>
        <v>INSERT INTO Asistencia VALUES ('ASISTIO','17/03/2020','74','26');</v>
      </c>
    </row>
    <row r="80" spans="3:8" ht="15" x14ac:dyDescent="0.25">
      <c r="C80" s="16" t="str">
        <f t="shared" si="2"/>
        <v>ASISTIO</v>
      </c>
      <c r="D80" s="66" t="s">
        <v>579</v>
      </c>
      <c r="E80" s="14">
        <v>75</v>
      </c>
      <c r="F80" s="15">
        <f>RandomSelection(EMPLEADO!$J$4:$J$91)</f>
        <v>32</v>
      </c>
      <c r="H80" s="4" t="str">
        <f t="shared" si="3"/>
        <v>INSERT INTO Asistencia VALUES ('ASISTIO','4/06/2020','75','32');</v>
      </c>
    </row>
    <row r="81" spans="3:8" ht="15" x14ac:dyDescent="0.25">
      <c r="C81" s="16" t="str">
        <f t="shared" si="2"/>
        <v>TARDANZA</v>
      </c>
      <c r="D81" s="66" t="s">
        <v>568</v>
      </c>
      <c r="E81" s="14">
        <v>76</v>
      </c>
      <c r="F81" s="15">
        <f>RandomSelection(EMPLEADO!$J$4:$J$91)</f>
        <v>74</v>
      </c>
      <c r="H81" s="4" t="str">
        <f t="shared" si="3"/>
        <v>INSERT INTO Asistencia VALUES ('TARDANZA','1/03/2020','76','74');</v>
      </c>
    </row>
    <row r="82" spans="3:8" ht="15" x14ac:dyDescent="0.25">
      <c r="C82" s="16" t="str">
        <f t="shared" si="2"/>
        <v>FALTO</v>
      </c>
      <c r="D82" s="66" t="s">
        <v>580</v>
      </c>
      <c r="E82" s="14">
        <v>77</v>
      </c>
      <c r="F82" s="15">
        <f>RandomSelection(EMPLEADO!$J$4:$J$91)</f>
        <v>7</v>
      </c>
      <c r="H82" s="4" t="str">
        <f t="shared" si="3"/>
        <v>INSERT INTO Asistencia VALUES ('FALTO','6/07/2021','77','7');</v>
      </c>
    </row>
    <row r="83" spans="3:8" ht="15" x14ac:dyDescent="0.25">
      <c r="C83" s="16" t="str">
        <f t="shared" si="2"/>
        <v>FALTO</v>
      </c>
      <c r="D83" s="66" t="s">
        <v>581</v>
      </c>
      <c r="E83" s="14">
        <v>78</v>
      </c>
      <c r="F83" s="15">
        <f>RandomSelection(EMPLEADO!$J$4:$J$91)</f>
        <v>68</v>
      </c>
      <c r="H83" s="4" t="str">
        <f t="shared" si="3"/>
        <v>INSERT INTO Asistencia VALUES ('FALTO','19/08/2020','78','68');</v>
      </c>
    </row>
    <row r="84" spans="3:8" ht="15" x14ac:dyDescent="0.25">
      <c r="C84" s="16" t="str">
        <f t="shared" si="2"/>
        <v>ASISTIO</v>
      </c>
      <c r="D84" s="66" t="s">
        <v>582</v>
      </c>
      <c r="E84" s="14">
        <v>79</v>
      </c>
      <c r="F84" s="15">
        <f>RandomSelection(EMPLEADO!$J$4:$J$91)</f>
        <v>2</v>
      </c>
      <c r="H84" s="4" t="str">
        <f t="shared" si="3"/>
        <v>INSERT INTO Asistencia VALUES ('ASISTIO','20/08/2021','79','2');</v>
      </c>
    </row>
    <row r="85" spans="3:8" ht="15" x14ac:dyDescent="0.25">
      <c r="C85" s="16" t="str">
        <f t="shared" si="2"/>
        <v>FALTO</v>
      </c>
      <c r="D85" s="66" t="s">
        <v>583</v>
      </c>
      <c r="E85" s="14">
        <v>80</v>
      </c>
      <c r="F85" s="15">
        <f>RandomSelection(EMPLEADO!$J$4:$J$91)</f>
        <v>34</v>
      </c>
      <c r="H85" s="4" t="str">
        <f t="shared" si="3"/>
        <v>INSERT INTO Asistencia VALUES ('FALTO','12/10/2021','80','34');</v>
      </c>
    </row>
    <row r="86" spans="3:8" ht="15" x14ac:dyDescent="0.25">
      <c r="C86" s="16" t="str">
        <f t="shared" si="2"/>
        <v>TARDANZA</v>
      </c>
      <c r="D86" s="66" t="s">
        <v>583</v>
      </c>
      <c r="E86" s="14">
        <v>81</v>
      </c>
      <c r="F86" s="15">
        <f>RandomSelection(EMPLEADO!$J$4:$J$91)</f>
        <v>82</v>
      </c>
      <c r="H86" s="4" t="str">
        <f t="shared" si="3"/>
        <v>INSERT INTO Asistencia VALUES ('TARDANZA','12/10/2021','81','82');</v>
      </c>
    </row>
    <row r="87" spans="3:8" ht="15" x14ac:dyDescent="0.25">
      <c r="C87" s="16" t="str">
        <f t="shared" si="2"/>
        <v>TARDANZA</v>
      </c>
      <c r="D87" s="66" t="s">
        <v>584</v>
      </c>
      <c r="E87" s="14">
        <v>82</v>
      </c>
      <c r="F87" s="15">
        <f>RandomSelection(EMPLEADO!$J$4:$J$91)</f>
        <v>77</v>
      </c>
      <c r="H87" s="4" t="str">
        <f t="shared" si="3"/>
        <v>INSERT INTO Asistencia VALUES ('TARDANZA','19/03/2021','82','77');</v>
      </c>
    </row>
    <row r="88" spans="3:8" ht="15" x14ac:dyDescent="0.25">
      <c r="C88" s="16" t="str">
        <f t="shared" si="2"/>
        <v>FALTO</v>
      </c>
      <c r="D88" s="66" t="s">
        <v>585</v>
      </c>
      <c r="E88" s="14">
        <v>83</v>
      </c>
      <c r="F88" s="15">
        <f>RandomSelection(EMPLEADO!$J$4:$J$91)</f>
        <v>8</v>
      </c>
      <c r="H88" s="4" t="str">
        <f t="shared" si="3"/>
        <v>INSERT INTO Asistencia VALUES ('FALTO','6/04/2020','83','8');</v>
      </c>
    </row>
    <row r="89" spans="3:8" ht="15" x14ac:dyDescent="0.25">
      <c r="C89" s="16" t="str">
        <f t="shared" si="2"/>
        <v>ASISTIO</v>
      </c>
      <c r="D89" s="66" t="s">
        <v>586</v>
      </c>
      <c r="E89" s="14">
        <v>84</v>
      </c>
      <c r="F89" s="15">
        <f>RandomSelection(EMPLEADO!$J$4:$J$91)</f>
        <v>42</v>
      </c>
      <c r="H89" s="4" t="str">
        <f t="shared" si="3"/>
        <v>INSERT INTO Asistencia VALUES ('ASISTIO','24/06/2020','84','42');</v>
      </c>
    </row>
    <row r="90" spans="3:8" ht="15" x14ac:dyDescent="0.25">
      <c r="C90" s="16" t="str">
        <f t="shared" si="2"/>
        <v>FALTO</v>
      </c>
      <c r="D90" s="66" t="s">
        <v>587</v>
      </c>
      <c r="E90" s="14">
        <v>85</v>
      </c>
      <c r="F90" s="15">
        <f>RandomSelection(EMPLEADO!$J$4:$J$91)</f>
        <v>75</v>
      </c>
      <c r="H90" s="4" t="str">
        <f t="shared" si="3"/>
        <v>INSERT INTO Asistencia VALUES ('FALTO','11/03/2020','85','75');</v>
      </c>
    </row>
    <row r="91" spans="3:8" ht="15" x14ac:dyDescent="0.25">
      <c r="C91" s="16" t="str">
        <f t="shared" si="2"/>
        <v>ASISTIO</v>
      </c>
      <c r="D91" s="66" t="s">
        <v>588</v>
      </c>
      <c r="E91" s="14">
        <v>86</v>
      </c>
      <c r="F91" s="15">
        <f>RandomSelection(EMPLEADO!$J$4:$J$91)</f>
        <v>9</v>
      </c>
      <c r="H91" s="4" t="str">
        <f t="shared" si="3"/>
        <v>INSERT INTO Asistencia VALUES ('ASISTIO','16/12/2021','86','9');</v>
      </c>
    </row>
    <row r="92" spans="3:8" ht="15" x14ac:dyDescent="0.25">
      <c r="C92" s="16" t="str">
        <f t="shared" si="2"/>
        <v>ASISTIO</v>
      </c>
      <c r="D92" s="66" t="s">
        <v>589</v>
      </c>
      <c r="E92" s="14">
        <v>87</v>
      </c>
      <c r="F92" s="15">
        <f>RandomSelection(EMPLEADO!$J$4:$J$91)</f>
        <v>48</v>
      </c>
      <c r="H92" s="4" t="str">
        <f t="shared" si="3"/>
        <v>INSERT INTO Asistencia VALUES ('ASISTIO','21/05/2020','87','48');</v>
      </c>
    </row>
    <row r="93" spans="3:8" ht="15" x14ac:dyDescent="0.25">
      <c r="C93" s="16" t="str">
        <f t="shared" si="2"/>
        <v>TARDANZA</v>
      </c>
      <c r="D93" s="66" t="s">
        <v>590</v>
      </c>
      <c r="E93" s="14">
        <v>88</v>
      </c>
      <c r="F93" s="15">
        <f>RandomSelection(EMPLEADO!$J$4:$J$91)</f>
        <v>66</v>
      </c>
      <c r="H93" s="4" t="str">
        <f t="shared" si="3"/>
        <v>INSERT INTO Asistencia VALUES ('TARDANZA','3/04/2020','88','66');</v>
      </c>
    </row>
    <row r="94" spans="3:8" ht="15" x14ac:dyDescent="0.25">
      <c r="C94" s="16" t="str">
        <f t="shared" si="2"/>
        <v>TARDANZA</v>
      </c>
      <c r="D94" s="66" t="s">
        <v>591</v>
      </c>
      <c r="E94" s="14">
        <v>89</v>
      </c>
      <c r="F94" s="15">
        <f>RandomSelection(EMPLEADO!$J$4:$J$91)</f>
        <v>7</v>
      </c>
      <c r="H94" s="4" t="str">
        <f t="shared" si="3"/>
        <v>INSERT INTO Asistencia VALUES ('TARDANZA','14/10/2020','89','7');</v>
      </c>
    </row>
    <row r="95" spans="3:8" ht="15" x14ac:dyDescent="0.25">
      <c r="C95" s="16" t="str">
        <f t="shared" si="2"/>
        <v>ASISTIO</v>
      </c>
      <c r="D95" s="66" t="s">
        <v>592</v>
      </c>
      <c r="E95" s="14">
        <v>90</v>
      </c>
      <c r="F95" s="15">
        <f>RandomSelection(EMPLEADO!$J$4:$J$91)</f>
        <v>71</v>
      </c>
      <c r="H95" s="4" t="str">
        <f t="shared" si="3"/>
        <v>INSERT INTO Asistencia VALUES ('ASISTIO','14/06/2020','90','71');</v>
      </c>
    </row>
    <row r="96" spans="3:8" ht="15" x14ac:dyDescent="0.25">
      <c r="C96" s="16" t="str">
        <f t="shared" si="2"/>
        <v>TARDANZA</v>
      </c>
      <c r="D96" s="66" t="s">
        <v>593</v>
      </c>
      <c r="E96" s="14">
        <v>91</v>
      </c>
      <c r="F96" s="15">
        <f>RandomSelection(EMPLEADO!$J$4:$J$91)</f>
        <v>11</v>
      </c>
      <c r="H96" s="4" t="str">
        <f t="shared" si="3"/>
        <v>INSERT INTO Asistencia VALUES ('TARDANZA','3/01/2021','91','11');</v>
      </c>
    </row>
    <row r="97" spans="3:8" ht="15" x14ac:dyDescent="0.25">
      <c r="C97" s="16" t="str">
        <f t="shared" si="2"/>
        <v>ASISTIO</v>
      </c>
      <c r="D97" s="66" t="s">
        <v>594</v>
      </c>
      <c r="E97" s="14">
        <v>92</v>
      </c>
      <c r="F97" s="15">
        <f>RandomSelection(EMPLEADO!$J$4:$J$91)</f>
        <v>83</v>
      </c>
      <c r="H97" s="4" t="str">
        <f t="shared" si="3"/>
        <v>INSERT INTO Asistencia VALUES ('ASISTIO','26/08/2021','92','83');</v>
      </c>
    </row>
    <row r="98" spans="3:8" ht="15" x14ac:dyDescent="0.25">
      <c r="C98" s="16" t="str">
        <f t="shared" si="2"/>
        <v>TARDANZA</v>
      </c>
      <c r="D98" s="66" t="s">
        <v>595</v>
      </c>
      <c r="E98" s="14">
        <v>93</v>
      </c>
      <c r="F98" s="15">
        <f>RandomSelection(EMPLEADO!$J$4:$J$91)</f>
        <v>36</v>
      </c>
      <c r="H98" s="4" t="str">
        <f t="shared" si="3"/>
        <v>INSERT INTO Asistencia VALUES ('TARDANZA','15/01/2021','93','36');</v>
      </c>
    </row>
    <row r="99" spans="3:8" ht="15" x14ac:dyDescent="0.25">
      <c r="C99" s="16" t="str">
        <f t="shared" si="2"/>
        <v>ASISTIO</v>
      </c>
      <c r="D99" s="66" t="s">
        <v>561</v>
      </c>
      <c r="E99" s="14">
        <v>94</v>
      </c>
      <c r="F99" s="15">
        <f>RandomSelection(EMPLEADO!$J$4:$J$91)</f>
        <v>76</v>
      </c>
      <c r="H99" s="4" t="str">
        <f t="shared" si="3"/>
        <v>INSERT INTO Asistencia VALUES ('ASISTIO','25/12/2020','94','76');</v>
      </c>
    </row>
    <row r="100" spans="3:8" ht="15" x14ac:dyDescent="0.25">
      <c r="C100" s="16" t="str">
        <f t="shared" si="2"/>
        <v>ASISTIO</v>
      </c>
      <c r="D100" s="66" t="s">
        <v>596</v>
      </c>
      <c r="E100" s="14">
        <v>95</v>
      </c>
      <c r="F100" s="15">
        <f>RandomSelection(EMPLEADO!$J$4:$J$91)</f>
        <v>58</v>
      </c>
      <c r="H100" s="4" t="str">
        <f t="shared" si="3"/>
        <v>INSERT INTO Asistencia VALUES ('ASISTIO','3/06/2020','95','58');</v>
      </c>
    </row>
    <row r="101" spans="3:8" ht="15" x14ac:dyDescent="0.25">
      <c r="C101" s="16" t="str">
        <f t="shared" si="2"/>
        <v>ASISTIO</v>
      </c>
      <c r="D101" s="66" t="s">
        <v>597</v>
      </c>
      <c r="E101" s="14">
        <v>96</v>
      </c>
      <c r="F101" s="15">
        <f>RandomSelection(EMPLEADO!$J$4:$J$91)</f>
        <v>31</v>
      </c>
      <c r="H101" s="4" t="str">
        <f t="shared" si="3"/>
        <v>INSERT INTO Asistencia VALUES ('ASISTIO','1/02/2021','96','31');</v>
      </c>
    </row>
    <row r="102" spans="3:8" ht="15" x14ac:dyDescent="0.25">
      <c r="C102" s="16" t="str">
        <f t="shared" si="2"/>
        <v>FALTO</v>
      </c>
      <c r="D102" s="66" t="s">
        <v>598</v>
      </c>
      <c r="E102" s="14">
        <v>97</v>
      </c>
      <c r="F102" s="15">
        <f>RandomSelection(EMPLEADO!$J$4:$J$91)</f>
        <v>61</v>
      </c>
      <c r="H102" s="4" t="str">
        <f t="shared" si="3"/>
        <v>INSERT INTO Asistencia VALUES ('FALTO','18/07/2021','97','61');</v>
      </c>
    </row>
    <row r="103" spans="3:8" ht="15" x14ac:dyDescent="0.25">
      <c r="C103" s="16" t="str">
        <f t="shared" si="2"/>
        <v>FALTO</v>
      </c>
      <c r="D103" s="66" t="s">
        <v>599</v>
      </c>
      <c r="E103" s="14">
        <v>98</v>
      </c>
      <c r="F103" s="15">
        <f>RandomSelection(EMPLEADO!$J$4:$J$91)</f>
        <v>3</v>
      </c>
      <c r="H103" s="4" t="str">
        <f t="shared" si="3"/>
        <v>INSERT INTO Asistencia VALUES ('FALTO','4/06/2021','98','3');</v>
      </c>
    </row>
    <row r="104" spans="3:8" ht="15" x14ac:dyDescent="0.25">
      <c r="C104" s="16" t="str">
        <f t="shared" si="2"/>
        <v>ASISTIO</v>
      </c>
      <c r="D104" s="66" t="s">
        <v>600</v>
      </c>
      <c r="E104" s="14">
        <v>99</v>
      </c>
      <c r="F104" s="15">
        <f>RandomSelection(EMPLEADO!$J$4:$J$91)</f>
        <v>49</v>
      </c>
      <c r="H104" s="4" t="str">
        <f t="shared" si="3"/>
        <v>INSERT INTO Asistencia VALUES ('ASISTIO','16/01/2021','99','49');</v>
      </c>
    </row>
    <row r="105" spans="3:8" ht="15" x14ac:dyDescent="0.25">
      <c r="C105" s="16" t="str">
        <f t="shared" si="2"/>
        <v>TARDANZA</v>
      </c>
      <c r="D105" s="66" t="s">
        <v>601</v>
      </c>
      <c r="E105" s="14">
        <v>100</v>
      </c>
      <c r="F105" s="15">
        <f>RandomSelection(EMPLEADO!$J$4:$J$91)</f>
        <v>53</v>
      </c>
      <c r="H105" s="4" t="str">
        <f t="shared" si="3"/>
        <v>INSERT INTO Asistencia VALUES ('TARDANZA','8/03/2020','100','53');</v>
      </c>
    </row>
    <row r="106" spans="3:8" ht="15" x14ac:dyDescent="0.25">
      <c r="C106" s="16" t="str">
        <f t="shared" si="2"/>
        <v>FALTO</v>
      </c>
      <c r="D106" s="66" t="s">
        <v>602</v>
      </c>
      <c r="E106" s="14">
        <v>101</v>
      </c>
      <c r="F106" s="15">
        <f>RandomSelection(EMPLEADO!$J$4:$J$91)</f>
        <v>26</v>
      </c>
      <c r="H106" s="4" t="str">
        <f t="shared" si="3"/>
        <v>INSERT INTO Asistencia VALUES ('FALTO','29/09/2020','101','26');</v>
      </c>
    </row>
    <row r="107" spans="3:8" ht="15" x14ac:dyDescent="0.25">
      <c r="C107" s="16" t="str">
        <f t="shared" si="2"/>
        <v>TARDANZA</v>
      </c>
      <c r="D107" s="66" t="s">
        <v>603</v>
      </c>
      <c r="E107" s="14">
        <v>102</v>
      </c>
      <c r="F107" s="15">
        <f>RandomSelection(EMPLEADO!$J$4:$J$91)</f>
        <v>55</v>
      </c>
      <c r="H107" s="4" t="str">
        <f t="shared" si="3"/>
        <v>INSERT INTO Asistencia VALUES ('TARDANZA','28/06/2021','102','55');</v>
      </c>
    </row>
    <row r="108" spans="3:8" ht="15" x14ac:dyDescent="0.25">
      <c r="C108" s="16" t="str">
        <f t="shared" si="2"/>
        <v>ASISTIO</v>
      </c>
      <c r="D108" s="66" t="s">
        <v>604</v>
      </c>
      <c r="E108" s="14">
        <v>103</v>
      </c>
      <c r="F108" s="15">
        <f>RandomSelection(EMPLEADO!$J$4:$J$91)</f>
        <v>60</v>
      </c>
      <c r="H108" s="4" t="str">
        <f t="shared" si="3"/>
        <v>INSERT INTO Asistencia VALUES ('ASISTIO','26/07/2020','103','60');</v>
      </c>
    </row>
    <row r="109" spans="3:8" ht="15" x14ac:dyDescent="0.25">
      <c r="C109" s="16" t="str">
        <f t="shared" si="2"/>
        <v>FALTO</v>
      </c>
      <c r="D109" s="66" t="s">
        <v>605</v>
      </c>
      <c r="E109" s="14">
        <v>104</v>
      </c>
      <c r="F109" s="15">
        <f>RandomSelection(EMPLEADO!$J$4:$J$91)</f>
        <v>1</v>
      </c>
      <c r="H109" s="4" t="str">
        <f t="shared" si="3"/>
        <v>INSERT INTO Asistencia VALUES ('FALTO','8/01/2020','104','1');</v>
      </c>
    </row>
    <row r="110" spans="3:8" ht="15" x14ac:dyDescent="0.25">
      <c r="C110" s="16" t="str">
        <f t="shared" si="2"/>
        <v>ASISTIO</v>
      </c>
      <c r="D110" s="66" t="s">
        <v>606</v>
      </c>
      <c r="E110" s="14">
        <v>105</v>
      </c>
      <c r="F110" s="15">
        <f>RandomSelection(EMPLEADO!$J$4:$J$91)</f>
        <v>49</v>
      </c>
      <c r="H110" s="4" t="str">
        <f t="shared" si="3"/>
        <v>INSERT INTO Asistencia VALUES ('ASISTIO','19/07/2020','105','49');</v>
      </c>
    </row>
    <row r="111" spans="3:8" ht="15" x14ac:dyDescent="0.25">
      <c r="C111" s="16" t="str">
        <f t="shared" si="2"/>
        <v>ASISTIO</v>
      </c>
      <c r="D111" s="66" t="s">
        <v>607</v>
      </c>
      <c r="E111" s="14">
        <v>106</v>
      </c>
      <c r="F111" s="15">
        <f>RandomSelection(EMPLEADO!$J$4:$J$91)</f>
        <v>21</v>
      </c>
      <c r="H111" s="4" t="str">
        <f t="shared" si="3"/>
        <v>INSERT INTO Asistencia VALUES ('ASISTIO','17/08/2021','106','21');</v>
      </c>
    </row>
    <row r="112" spans="3:8" ht="15" x14ac:dyDescent="0.25">
      <c r="C112" s="16" t="str">
        <f t="shared" si="2"/>
        <v>FALTO</v>
      </c>
      <c r="D112" s="66" t="s">
        <v>608</v>
      </c>
      <c r="E112" s="14">
        <v>107</v>
      </c>
      <c r="F112" s="15">
        <f>RandomSelection(EMPLEADO!$J$4:$J$91)</f>
        <v>49</v>
      </c>
      <c r="H112" s="4" t="str">
        <f t="shared" si="3"/>
        <v>INSERT INTO Asistencia VALUES ('FALTO','22/03/2021','107','49');</v>
      </c>
    </row>
    <row r="113" spans="3:8" ht="15" x14ac:dyDescent="0.25">
      <c r="C113" s="16" t="str">
        <f t="shared" si="2"/>
        <v>FALTO</v>
      </c>
      <c r="D113" s="66" t="s">
        <v>609</v>
      </c>
      <c r="E113" s="14">
        <v>108</v>
      </c>
      <c r="F113" s="15">
        <f>RandomSelection(EMPLEADO!$J$4:$J$91)</f>
        <v>50</v>
      </c>
      <c r="H113" s="4" t="str">
        <f t="shared" si="3"/>
        <v>INSERT INTO Asistencia VALUES ('FALTO','7/06/2020','108','50');</v>
      </c>
    </row>
    <row r="114" spans="3:8" ht="15" x14ac:dyDescent="0.25">
      <c r="C114" s="16" t="str">
        <f t="shared" si="2"/>
        <v>FALTO</v>
      </c>
      <c r="D114" s="66" t="s">
        <v>610</v>
      </c>
      <c r="E114" s="14">
        <v>109</v>
      </c>
      <c r="F114" s="15">
        <f>RandomSelection(EMPLEADO!$J$4:$J$91)</f>
        <v>40</v>
      </c>
      <c r="H114" s="4" t="str">
        <f t="shared" si="3"/>
        <v>INSERT INTO Asistencia VALUES ('FALTO','8/11/2020','109','40');</v>
      </c>
    </row>
    <row r="115" spans="3:8" ht="15" x14ac:dyDescent="0.25">
      <c r="C115" s="16" t="str">
        <f t="shared" si="2"/>
        <v>ASISTIO</v>
      </c>
      <c r="D115" s="66" t="s">
        <v>512</v>
      </c>
      <c r="E115" s="14">
        <v>110</v>
      </c>
      <c r="F115" s="15">
        <f>RandomSelection(EMPLEADO!$J$4:$J$91)</f>
        <v>38</v>
      </c>
      <c r="H115" s="4" t="str">
        <f t="shared" si="3"/>
        <v>INSERT INTO Asistencia VALUES ('ASISTIO','13/02/2020','110','38');</v>
      </c>
    </row>
    <row r="116" spans="3:8" ht="15" x14ac:dyDescent="0.25">
      <c r="C116" s="16" t="str">
        <f t="shared" si="2"/>
        <v>FALTO</v>
      </c>
      <c r="D116" s="66" t="s">
        <v>611</v>
      </c>
      <c r="E116" s="14">
        <v>111</v>
      </c>
      <c r="F116" s="15">
        <f>RandomSelection(EMPLEADO!$J$4:$J$91)</f>
        <v>80</v>
      </c>
      <c r="H116" s="4" t="str">
        <f t="shared" si="3"/>
        <v>INSERT INTO Asistencia VALUES ('FALTO','19/03/2020','111','80');</v>
      </c>
    </row>
    <row r="117" spans="3:8" ht="15" x14ac:dyDescent="0.25">
      <c r="C117" s="16" t="str">
        <f t="shared" si="2"/>
        <v>ASISTIO</v>
      </c>
      <c r="D117" s="66" t="s">
        <v>522</v>
      </c>
      <c r="E117" s="14">
        <v>112</v>
      </c>
      <c r="F117" s="15">
        <f>RandomSelection(EMPLEADO!$J$4:$J$91)</f>
        <v>14</v>
      </c>
      <c r="H117" s="4" t="str">
        <f t="shared" si="3"/>
        <v>INSERT INTO Asistencia VALUES ('ASISTIO','14/04/2020','112','14');</v>
      </c>
    </row>
    <row r="118" spans="3:8" ht="15" x14ac:dyDescent="0.25">
      <c r="C118" s="16" t="str">
        <f t="shared" si="2"/>
        <v>TARDANZA</v>
      </c>
      <c r="D118" s="66" t="s">
        <v>525</v>
      </c>
      <c r="E118" s="14">
        <v>113</v>
      </c>
      <c r="F118" s="15">
        <f>RandomSelection(EMPLEADO!$J$4:$J$91)</f>
        <v>2</v>
      </c>
      <c r="H118" s="4" t="str">
        <f t="shared" si="3"/>
        <v>INSERT INTO Asistencia VALUES ('TARDANZA','26/06/2020','113','2');</v>
      </c>
    </row>
    <row r="119" spans="3:8" ht="15" x14ac:dyDescent="0.25">
      <c r="C119" s="16" t="str">
        <f t="shared" si="2"/>
        <v>TARDANZA</v>
      </c>
      <c r="D119" s="66" t="s">
        <v>612</v>
      </c>
      <c r="E119" s="14">
        <v>114</v>
      </c>
      <c r="F119" s="15">
        <f>RandomSelection(EMPLEADO!$J$4:$J$91)</f>
        <v>18</v>
      </c>
      <c r="H119" s="4" t="str">
        <f t="shared" si="3"/>
        <v>INSERT INTO Asistencia VALUES ('TARDANZA','13/10/2021','114','18');</v>
      </c>
    </row>
    <row r="120" spans="3:8" ht="15" x14ac:dyDescent="0.25">
      <c r="C120" s="16" t="str">
        <f t="shared" si="2"/>
        <v>FALTO</v>
      </c>
      <c r="D120" s="66" t="s">
        <v>613</v>
      </c>
      <c r="E120" s="14">
        <v>115</v>
      </c>
      <c r="F120" s="15">
        <f>RandomSelection(EMPLEADO!$J$4:$J$91)</f>
        <v>75</v>
      </c>
      <c r="H120" s="4" t="str">
        <f t="shared" si="3"/>
        <v>INSERT INTO Asistencia VALUES ('FALTO','26/03/2020','115','75');</v>
      </c>
    </row>
    <row r="121" spans="3:8" ht="15" x14ac:dyDescent="0.25">
      <c r="C121" s="16" t="str">
        <f t="shared" si="2"/>
        <v>ASISTIO</v>
      </c>
      <c r="D121" s="66" t="s">
        <v>614</v>
      </c>
      <c r="E121" s="14">
        <v>116</v>
      </c>
      <c r="F121" s="15">
        <f>RandomSelection(EMPLEADO!$J$4:$J$91)</f>
        <v>10</v>
      </c>
      <c r="H121" s="4" t="str">
        <f t="shared" si="3"/>
        <v>INSERT INTO Asistencia VALUES ('ASISTIO','29/11/2021','116','10');</v>
      </c>
    </row>
    <row r="122" spans="3:8" ht="15" x14ac:dyDescent="0.25">
      <c r="C122" s="16" t="str">
        <f t="shared" si="2"/>
        <v>ASISTIO</v>
      </c>
      <c r="D122" s="66" t="s">
        <v>615</v>
      </c>
      <c r="E122" s="14">
        <v>117</v>
      </c>
      <c r="F122" s="15">
        <f>RandomSelection(EMPLEADO!$J$4:$J$91)</f>
        <v>5</v>
      </c>
      <c r="H122" s="4" t="str">
        <f t="shared" si="3"/>
        <v>INSERT INTO Asistencia VALUES ('ASISTIO','23/09/2021','117','5');</v>
      </c>
    </row>
    <row r="123" spans="3:8" ht="15" x14ac:dyDescent="0.25">
      <c r="C123" s="16" t="str">
        <f t="shared" si="2"/>
        <v>TARDANZA</v>
      </c>
      <c r="D123" s="66" t="s">
        <v>616</v>
      </c>
      <c r="E123" s="14">
        <v>118</v>
      </c>
      <c r="F123" s="15">
        <f>RandomSelection(EMPLEADO!$J$4:$J$91)</f>
        <v>31</v>
      </c>
      <c r="H123" s="4" t="str">
        <f t="shared" si="3"/>
        <v>INSERT INTO Asistencia VALUES ('TARDANZA','12/06/2021','118','31');</v>
      </c>
    </row>
    <row r="124" spans="3:8" ht="15" x14ac:dyDescent="0.25">
      <c r="C124" s="16" t="str">
        <f t="shared" si="2"/>
        <v>TARDANZA</v>
      </c>
      <c r="D124" s="66" t="s">
        <v>617</v>
      </c>
      <c r="E124" s="14">
        <v>119</v>
      </c>
      <c r="F124" s="15">
        <f>RandomSelection(EMPLEADO!$J$4:$J$91)</f>
        <v>26</v>
      </c>
      <c r="H124" s="4" t="str">
        <f t="shared" si="3"/>
        <v>INSERT INTO Asistencia VALUES ('TARDANZA','22/02/2021','119','26');</v>
      </c>
    </row>
    <row r="125" spans="3:8" ht="15" x14ac:dyDescent="0.25">
      <c r="C125" s="16" t="str">
        <f t="shared" si="2"/>
        <v>TARDANZA</v>
      </c>
      <c r="D125" s="66" t="s">
        <v>618</v>
      </c>
      <c r="E125" s="14">
        <v>120</v>
      </c>
      <c r="F125" s="15">
        <f>RandomSelection(EMPLEADO!$J$4:$J$91)</f>
        <v>68</v>
      </c>
      <c r="H125" s="4" t="str">
        <f t="shared" si="3"/>
        <v>INSERT INTO Asistencia VALUES ('TARDANZA','21/07/2021','120','68');</v>
      </c>
    </row>
    <row r="126" spans="3:8" ht="15" x14ac:dyDescent="0.25">
      <c r="C126" s="16" t="str">
        <f t="shared" si="2"/>
        <v>FALTO</v>
      </c>
      <c r="D126" s="66" t="s">
        <v>619</v>
      </c>
      <c r="E126" s="14">
        <v>121</v>
      </c>
      <c r="F126" s="15">
        <f>RandomSelection(EMPLEADO!$J$4:$J$91)</f>
        <v>60</v>
      </c>
      <c r="H126" s="4" t="str">
        <f t="shared" si="3"/>
        <v>INSERT INTO Asistencia VALUES ('FALTO','18/10/2021','121','60');</v>
      </c>
    </row>
    <row r="127" spans="3:8" ht="15" x14ac:dyDescent="0.25">
      <c r="C127" s="16" t="str">
        <f t="shared" si="2"/>
        <v>TARDANZA</v>
      </c>
      <c r="D127" s="66" t="s">
        <v>620</v>
      </c>
      <c r="E127" s="14">
        <v>122</v>
      </c>
      <c r="F127" s="15">
        <f>RandomSelection(EMPLEADO!$J$4:$J$91)</f>
        <v>26</v>
      </c>
      <c r="H127" s="4" t="str">
        <f t="shared" si="3"/>
        <v>INSERT INTO Asistencia VALUES ('TARDANZA','29/07/2020','122','26');</v>
      </c>
    </row>
    <row r="128" spans="3:8" ht="15" x14ac:dyDescent="0.25">
      <c r="C128" s="16" t="str">
        <f t="shared" si="2"/>
        <v>FALTO</v>
      </c>
      <c r="D128" s="66" t="s">
        <v>621</v>
      </c>
      <c r="E128" s="14">
        <v>123</v>
      </c>
      <c r="F128" s="15">
        <f>RandomSelection(EMPLEADO!$J$4:$J$91)</f>
        <v>86</v>
      </c>
      <c r="H128" s="4" t="str">
        <f t="shared" si="3"/>
        <v>INSERT INTO Asistencia VALUES ('FALTO','7/07/2020','123','86');</v>
      </c>
    </row>
    <row r="129" spans="3:8" ht="15" x14ac:dyDescent="0.25">
      <c r="C129" s="16" t="str">
        <f t="shared" si="2"/>
        <v>TARDANZA</v>
      </c>
      <c r="D129" s="66" t="s">
        <v>622</v>
      </c>
      <c r="E129" s="14">
        <v>124</v>
      </c>
      <c r="F129" s="15">
        <f>RandomSelection(EMPLEADO!$J$4:$J$91)</f>
        <v>48</v>
      </c>
      <c r="H129" s="4" t="str">
        <f t="shared" si="3"/>
        <v>INSERT INTO Asistencia VALUES ('TARDANZA','5/02/2021','124','48');</v>
      </c>
    </row>
    <row r="130" spans="3:8" ht="15" x14ac:dyDescent="0.25">
      <c r="C130" s="16" t="str">
        <f t="shared" si="2"/>
        <v>FALTO</v>
      </c>
      <c r="D130" s="66" t="s">
        <v>623</v>
      </c>
      <c r="E130" s="14">
        <v>125</v>
      </c>
      <c r="F130" s="15">
        <f>RandomSelection(EMPLEADO!$J$4:$J$91)</f>
        <v>71</v>
      </c>
      <c r="H130" s="4" t="str">
        <f t="shared" si="3"/>
        <v>INSERT INTO Asistencia VALUES ('FALTO','11/07/2020','125','71');</v>
      </c>
    </row>
    <row r="131" spans="3:8" ht="15" x14ac:dyDescent="0.25">
      <c r="C131" s="16" t="str">
        <f t="shared" si="2"/>
        <v>ASISTIO</v>
      </c>
      <c r="D131" s="66" t="s">
        <v>624</v>
      </c>
      <c r="E131" s="14">
        <v>126</v>
      </c>
      <c r="F131" s="15">
        <f>RandomSelection(EMPLEADO!$J$4:$J$91)</f>
        <v>16</v>
      </c>
      <c r="H131" s="4" t="str">
        <f t="shared" si="3"/>
        <v>INSERT INTO Asistencia VALUES ('ASISTIO','18/04/2020','126','16');</v>
      </c>
    </row>
    <row r="132" spans="3:8" ht="15" x14ac:dyDescent="0.25">
      <c r="C132" s="16" t="str">
        <f t="shared" si="2"/>
        <v>TARDANZA</v>
      </c>
      <c r="D132" s="66" t="s">
        <v>625</v>
      </c>
      <c r="E132" s="14">
        <v>127</v>
      </c>
      <c r="F132" s="15">
        <f>RandomSelection(EMPLEADO!$J$4:$J$91)</f>
        <v>1</v>
      </c>
      <c r="H132" s="4" t="str">
        <f t="shared" si="3"/>
        <v>INSERT INTO Asistencia VALUES ('TARDANZA','18/02/2020','127','1');</v>
      </c>
    </row>
    <row r="133" spans="3:8" ht="15" x14ac:dyDescent="0.25">
      <c r="C133" s="16" t="str">
        <f t="shared" si="2"/>
        <v>ASISTIO</v>
      </c>
      <c r="D133" s="66" t="s">
        <v>626</v>
      </c>
      <c r="E133" s="14">
        <v>128</v>
      </c>
      <c r="F133" s="15">
        <f>RandomSelection(EMPLEADO!$J$4:$J$91)</f>
        <v>83</v>
      </c>
      <c r="H133" s="4" t="str">
        <f t="shared" si="3"/>
        <v>INSERT INTO Asistencia VALUES ('ASISTIO','1/07/2020','128','83');</v>
      </c>
    </row>
    <row r="134" spans="3:8" ht="15" x14ac:dyDescent="0.25">
      <c r="C134" s="16" t="str">
        <f t="shared" si="2"/>
        <v>FALTO</v>
      </c>
      <c r="D134" s="66" t="s">
        <v>628</v>
      </c>
      <c r="E134" s="14">
        <v>129</v>
      </c>
      <c r="F134" s="15">
        <f>RandomSelection(EMPLEADO!$J$4:$J$91)</f>
        <v>15</v>
      </c>
      <c r="H134" s="4" t="str">
        <f t="shared" si="3"/>
        <v>INSERT INTO Asistencia VALUES ('FALTO','1/07/2021','129','15');</v>
      </c>
    </row>
    <row r="135" spans="3:8" ht="15" x14ac:dyDescent="0.25">
      <c r="C135" s="16" t="str">
        <f t="shared" ref="C135:C198" si="4">RandomSelection($A$6:$A$8)</f>
        <v>TARDANZA</v>
      </c>
      <c r="D135" s="66" t="s">
        <v>627</v>
      </c>
      <c r="E135" s="14">
        <v>130</v>
      </c>
      <c r="F135" s="15">
        <f>RandomSelection(EMPLEADO!$J$4:$J$91)</f>
        <v>26</v>
      </c>
      <c r="H135" s="4" t="str">
        <f t="shared" ref="H135:H198" si="5">"INSERT INTO Asistencia VALUES ('"&amp;C135&amp;"','"&amp;D135&amp;"','"&amp;E135&amp;"','"&amp;F135&amp;"');"</f>
        <v>INSERT INTO Asistencia VALUES ('TARDANZA','29/08/2021','130','26');</v>
      </c>
    </row>
    <row r="136" spans="3:8" ht="15" x14ac:dyDescent="0.25">
      <c r="C136" s="16" t="str">
        <f t="shared" si="4"/>
        <v>TARDANZA</v>
      </c>
      <c r="D136" s="66" t="s">
        <v>629</v>
      </c>
      <c r="E136" s="14">
        <v>131</v>
      </c>
      <c r="F136" s="15">
        <f>RandomSelection(EMPLEADO!$J$4:$J$91)</f>
        <v>11</v>
      </c>
      <c r="H136" s="4" t="str">
        <f t="shared" si="5"/>
        <v>INSERT INTO Asistencia VALUES ('TARDANZA','20/12/2020','131','11');</v>
      </c>
    </row>
    <row r="137" spans="3:8" ht="15" x14ac:dyDescent="0.25">
      <c r="C137" s="16" t="str">
        <f t="shared" si="4"/>
        <v>FALTO</v>
      </c>
      <c r="D137" s="66" t="s">
        <v>630</v>
      </c>
      <c r="E137" s="14">
        <v>132</v>
      </c>
      <c r="F137" s="15">
        <f>RandomSelection(EMPLEADO!$J$4:$J$91)</f>
        <v>67</v>
      </c>
      <c r="H137" s="4" t="str">
        <f t="shared" si="5"/>
        <v>INSERT INTO Asistencia VALUES ('FALTO','15/07/2021','132','67');</v>
      </c>
    </row>
    <row r="138" spans="3:8" ht="15" x14ac:dyDescent="0.25">
      <c r="C138" s="16" t="str">
        <f t="shared" si="4"/>
        <v>TARDANZA</v>
      </c>
      <c r="D138" s="66" t="s">
        <v>556</v>
      </c>
      <c r="E138" s="14">
        <v>133</v>
      </c>
      <c r="F138" s="15">
        <f>RandomSelection(EMPLEADO!$J$4:$J$91)</f>
        <v>29</v>
      </c>
      <c r="H138" s="4" t="str">
        <f t="shared" si="5"/>
        <v>INSERT INTO Asistencia VALUES ('TARDANZA','19/12/2020','133','29');</v>
      </c>
    </row>
    <row r="139" spans="3:8" ht="15" x14ac:dyDescent="0.25">
      <c r="C139" s="16" t="str">
        <f t="shared" si="4"/>
        <v>ASISTIO</v>
      </c>
      <c r="D139" s="66" t="s">
        <v>631</v>
      </c>
      <c r="E139" s="14">
        <v>134</v>
      </c>
      <c r="F139" s="15">
        <f>RandomSelection(EMPLEADO!$J$4:$J$91)</f>
        <v>20</v>
      </c>
      <c r="H139" s="4" t="str">
        <f t="shared" si="5"/>
        <v>INSERT INTO Asistencia VALUES ('ASISTIO','28/09/2020','134','20');</v>
      </c>
    </row>
    <row r="140" spans="3:8" ht="15" x14ac:dyDescent="0.25">
      <c r="C140" s="16" t="str">
        <f t="shared" si="4"/>
        <v>FALTO</v>
      </c>
      <c r="D140" s="66" t="s">
        <v>632</v>
      </c>
      <c r="E140" s="14">
        <v>135</v>
      </c>
      <c r="F140" s="15">
        <f>RandomSelection(EMPLEADO!$J$4:$J$91)</f>
        <v>77</v>
      </c>
      <c r="H140" s="4" t="str">
        <f t="shared" si="5"/>
        <v>INSERT INTO Asistencia VALUES ('FALTO','17/12/2020','135','77');</v>
      </c>
    </row>
    <row r="141" spans="3:8" ht="15" x14ac:dyDescent="0.25">
      <c r="C141" s="16" t="str">
        <f t="shared" si="4"/>
        <v>ASISTIO</v>
      </c>
      <c r="D141" s="66" t="s">
        <v>633</v>
      </c>
      <c r="E141" s="14">
        <v>136</v>
      </c>
      <c r="F141" s="15">
        <f>RandomSelection(EMPLEADO!$J$4:$J$91)</f>
        <v>51</v>
      </c>
      <c r="H141" s="4" t="str">
        <f t="shared" si="5"/>
        <v>INSERT INTO Asistencia VALUES ('ASISTIO','20/07/2021','136','51');</v>
      </c>
    </row>
    <row r="142" spans="3:8" ht="15" x14ac:dyDescent="0.25">
      <c r="C142" s="16" t="str">
        <f t="shared" si="4"/>
        <v>ASISTIO</v>
      </c>
      <c r="D142" s="66" t="s">
        <v>634</v>
      </c>
      <c r="E142" s="14">
        <v>137</v>
      </c>
      <c r="F142" s="15">
        <f>RandomSelection(EMPLEADO!$J$4:$J$91)</f>
        <v>11</v>
      </c>
      <c r="H142" s="4" t="str">
        <f t="shared" si="5"/>
        <v>INSERT INTO Asistencia VALUES ('ASISTIO','20/06/2021','137','11');</v>
      </c>
    </row>
    <row r="143" spans="3:8" ht="15" x14ac:dyDescent="0.25">
      <c r="C143" s="16" t="str">
        <f t="shared" si="4"/>
        <v>FALTO</v>
      </c>
      <c r="D143" s="66" t="s">
        <v>541</v>
      </c>
      <c r="E143" s="14">
        <v>138</v>
      </c>
      <c r="F143" s="15">
        <f>RandomSelection(EMPLEADO!$J$4:$J$91)</f>
        <v>39</v>
      </c>
      <c r="H143" s="4" t="str">
        <f t="shared" si="5"/>
        <v>INSERT INTO Asistencia VALUES ('FALTO','30/05/2020','138','39');</v>
      </c>
    </row>
    <row r="144" spans="3:8" ht="15" x14ac:dyDescent="0.25">
      <c r="C144" s="16" t="str">
        <f t="shared" si="4"/>
        <v>FALTO</v>
      </c>
      <c r="D144" s="66" t="s">
        <v>635</v>
      </c>
      <c r="E144" s="14">
        <v>139</v>
      </c>
      <c r="F144" s="15">
        <f>RandomSelection(EMPLEADO!$J$4:$J$91)</f>
        <v>46</v>
      </c>
      <c r="H144" s="4" t="str">
        <f t="shared" si="5"/>
        <v>INSERT INTO Asistencia VALUES ('FALTO','10/10/2020','139','46');</v>
      </c>
    </row>
    <row r="145" spans="3:8" ht="15" x14ac:dyDescent="0.25">
      <c r="C145" s="16" t="str">
        <f t="shared" si="4"/>
        <v>FALTO</v>
      </c>
      <c r="D145" s="66" t="s">
        <v>628</v>
      </c>
      <c r="E145" s="14">
        <v>140</v>
      </c>
      <c r="F145" s="15">
        <f>RandomSelection(EMPLEADO!$J$4:$J$91)</f>
        <v>75</v>
      </c>
      <c r="H145" s="4" t="str">
        <f t="shared" si="5"/>
        <v>INSERT INTO Asistencia VALUES ('FALTO','1/07/2021','140','75');</v>
      </c>
    </row>
    <row r="146" spans="3:8" ht="15" x14ac:dyDescent="0.25">
      <c r="C146" s="16" t="str">
        <f t="shared" si="4"/>
        <v>TARDANZA</v>
      </c>
      <c r="D146" s="66" t="s">
        <v>636</v>
      </c>
      <c r="E146" s="14">
        <v>141</v>
      </c>
      <c r="F146" s="15">
        <f>RandomSelection(EMPLEADO!$J$4:$J$91)</f>
        <v>65</v>
      </c>
      <c r="H146" s="4" t="str">
        <f t="shared" si="5"/>
        <v>INSERT INTO Asistencia VALUES ('TARDANZA','4/12/2021','141','65');</v>
      </c>
    </row>
    <row r="147" spans="3:8" ht="15" x14ac:dyDescent="0.25">
      <c r="C147" s="16" t="str">
        <f t="shared" si="4"/>
        <v>FALTO</v>
      </c>
      <c r="D147" s="66" t="s">
        <v>637</v>
      </c>
      <c r="E147" s="14">
        <v>142</v>
      </c>
      <c r="F147" s="15">
        <f>RandomSelection(EMPLEADO!$J$4:$J$91)</f>
        <v>68</v>
      </c>
      <c r="H147" s="4" t="str">
        <f t="shared" si="5"/>
        <v>INSERT INTO Asistencia VALUES ('FALTO','24/05/2021','142','68');</v>
      </c>
    </row>
    <row r="148" spans="3:8" ht="15" x14ac:dyDescent="0.25">
      <c r="C148" s="16" t="str">
        <f t="shared" si="4"/>
        <v>FALTO</v>
      </c>
      <c r="D148" s="66" t="s">
        <v>614</v>
      </c>
      <c r="E148" s="14">
        <v>143</v>
      </c>
      <c r="F148" s="15">
        <f>RandomSelection(EMPLEADO!$J$4:$J$91)</f>
        <v>30</v>
      </c>
      <c r="H148" s="4" t="str">
        <f t="shared" si="5"/>
        <v>INSERT INTO Asistencia VALUES ('FALTO','29/11/2021','143','30');</v>
      </c>
    </row>
    <row r="149" spans="3:8" ht="15" x14ac:dyDescent="0.25">
      <c r="C149" s="16" t="str">
        <f t="shared" si="4"/>
        <v>FALTO</v>
      </c>
      <c r="D149" s="66" t="s">
        <v>638</v>
      </c>
      <c r="E149" s="14">
        <v>144</v>
      </c>
      <c r="F149" s="15">
        <f>RandomSelection(EMPLEADO!$J$4:$J$91)</f>
        <v>4</v>
      </c>
      <c r="H149" s="4" t="str">
        <f t="shared" si="5"/>
        <v>INSERT INTO Asistencia VALUES ('FALTO','29/05/2021','144','4');</v>
      </c>
    </row>
    <row r="150" spans="3:8" ht="15" x14ac:dyDescent="0.25">
      <c r="C150" s="16" t="str">
        <f t="shared" si="4"/>
        <v>FALTO</v>
      </c>
      <c r="D150" s="66" t="s">
        <v>639</v>
      </c>
      <c r="E150" s="14">
        <v>145</v>
      </c>
      <c r="F150" s="15">
        <f>RandomSelection(EMPLEADO!$J$4:$J$91)</f>
        <v>57</v>
      </c>
      <c r="H150" s="4" t="str">
        <f t="shared" si="5"/>
        <v>INSERT INTO Asistencia VALUES ('FALTO','10/10/2021','145','57');</v>
      </c>
    </row>
    <row r="151" spans="3:8" ht="15" x14ac:dyDescent="0.25">
      <c r="C151" s="16" t="str">
        <f t="shared" si="4"/>
        <v>ASISTIO</v>
      </c>
      <c r="D151" s="66" t="s">
        <v>640</v>
      </c>
      <c r="E151" s="14">
        <v>146</v>
      </c>
      <c r="F151" s="15">
        <f>RandomSelection(EMPLEADO!$J$4:$J$91)</f>
        <v>70</v>
      </c>
      <c r="H151" s="4" t="str">
        <f t="shared" si="5"/>
        <v>INSERT INTO Asistencia VALUES ('ASISTIO','13/12/2021','146','70');</v>
      </c>
    </row>
    <row r="152" spans="3:8" ht="15" x14ac:dyDescent="0.25">
      <c r="C152" s="16" t="str">
        <f t="shared" si="4"/>
        <v>ASISTIO</v>
      </c>
      <c r="D152" s="66" t="s">
        <v>641</v>
      </c>
      <c r="E152" s="14">
        <v>147</v>
      </c>
      <c r="F152" s="15">
        <f>RandomSelection(EMPLEADO!$J$4:$J$91)</f>
        <v>1</v>
      </c>
      <c r="H152" s="4" t="str">
        <f t="shared" si="5"/>
        <v>INSERT INTO Asistencia VALUES ('ASISTIO','2/04/2021','147','1');</v>
      </c>
    </row>
    <row r="153" spans="3:8" ht="15" x14ac:dyDescent="0.25">
      <c r="C153" s="16" t="str">
        <f t="shared" si="4"/>
        <v>FALTO</v>
      </c>
      <c r="D153" s="66" t="s">
        <v>642</v>
      </c>
      <c r="E153" s="14">
        <v>148</v>
      </c>
      <c r="F153" s="15">
        <f>RandomSelection(EMPLEADO!$J$4:$J$91)</f>
        <v>63</v>
      </c>
      <c r="H153" s="4" t="str">
        <f t="shared" si="5"/>
        <v>INSERT INTO Asistencia VALUES ('FALTO','24/03/2020','148','63');</v>
      </c>
    </row>
    <row r="154" spans="3:8" ht="15" x14ac:dyDescent="0.25">
      <c r="C154" s="16" t="str">
        <f t="shared" si="4"/>
        <v>ASISTIO</v>
      </c>
      <c r="D154" s="66" t="s">
        <v>643</v>
      </c>
      <c r="E154" s="14">
        <v>149</v>
      </c>
      <c r="F154" s="15">
        <f>RandomSelection(EMPLEADO!$J$4:$J$91)</f>
        <v>58</v>
      </c>
      <c r="H154" s="4" t="str">
        <f t="shared" si="5"/>
        <v>INSERT INTO Asistencia VALUES ('ASISTIO','17/04/2020','149','58');</v>
      </c>
    </row>
    <row r="155" spans="3:8" ht="15" x14ac:dyDescent="0.25">
      <c r="C155" s="16" t="str">
        <f t="shared" si="4"/>
        <v>TARDANZA</v>
      </c>
      <c r="D155" s="66" t="s">
        <v>644</v>
      </c>
      <c r="E155" s="14">
        <v>150</v>
      </c>
      <c r="F155" s="15">
        <f>RandomSelection(EMPLEADO!$J$4:$J$91)</f>
        <v>18</v>
      </c>
      <c r="H155" s="4" t="str">
        <f t="shared" si="5"/>
        <v>INSERT INTO Asistencia VALUES ('TARDANZA','18/04/2021','150','18');</v>
      </c>
    </row>
    <row r="156" spans="3:8" ht="15" x14ac:dyDescent="0.25">
      <c r="C156" s="16" t="str">
        <f t="shared" si="4"/>
        <v>ASISTIO</v>
      </c>
      <c r="D156" s="66" t="s">
        <v>513</v>
      </c>
      <c r="E156" s="14">
        <v>151</v>
      </c>
      <c r="F156" s="15">
        <f>RandomSelection(EMPLEADO!$J$4:$J$91)</f>
        <v>53</v>
      </c>
      <c r="H156" s="4" t="str">
        <f t="shared" si="5"/>
        <v>INSERT INTO Asistencia VALUES ('ASISTIO','3/05/2020','151','53');</v>
      </c>
    </row>
    <row r="157" spans="3:8" ht="15" x14ac:dyDescent="0.25">
      <c r="C157" s="16" t="str">
        <f t="shared" si="4"/>
        <v>TARDANZA</v>
      </c>
      <c r="D157" s="66" t="s">
        <v>645</v>
      </c>
      <c r="E157" s="14">
        <v>152</v>
      </c>
      <c r="F157" s="15">
        <f>RandomSelection(EMPLEADO!$J$4:$J$91)</f>
        <v>62</v>
      </c>
      <c r="H157" s="4" t="str">
        <f t="shared" si="5"/>
        <v>INSERT INTO Asistencia VALUES ('TARDANZA','6/05/2020','152','62');</v>
      </c>
    </row>
    <row r="158" spans="3:8" ht="15" x14ac:dyDescent="0.25">
      <c r="C158" s="16" t="str">
        <f t="shared" si="4"/>
        <v>FALTO</v>
      </c>
      <c r="D158" s="66" t="s">
        <v>646</v>
      </c>
      <c r="E158" s="14">
        <v>153</v>
      </c>
      <c r="F158" s="15">
        <f>RandomSelection(EMPLEADO!$J$4:$J$91)</f>
        <v>55</v>
      </c>
      <c r="H158" s="4" t="str">
        <f t="shared" si="5"/>
        <v>INSERT INTO Asistencia VALUES ('FALTO','23/11/2021','153','55');</v>
      </c>
    </row>
    <row r="159" spans="3:8" ht="15" x14ac:dyDescent="0.25">
      <c r="C159" s="16" t="str">
        <f t="shared" si="4"/>
        <v>FALTO</v>
      </c>
      <c r="D159" s="66" t="s">
        <v>647</v>
      </c>
      <c r="E159" s="14">
        <v>154</v>
      </c>
      <c r="F159" s="15">
        <f>RandomSelection(EMPLEADO!$J$4:$J$91)</f>
        <v>21</v>
      </c>
      <c r="H159" s="4" t="str">
        <f t="shared" si="5"/>
        <v>INSERT INTO Asistencia VALUES ('FALTO','9/11/2021','154','21');</v>
      </c>
    </row>
    <row r="160" spans="3:8" ht="15" x14ac:dyDescent="0.25">
      <c r="C160" s="16" t="str">
        <f t="shared" si="4"/>
        <v>ASISTIO</v>
      </c>
      <c r="D160" s="66" t="s">
        <v>591</v>
      </c>
      <c r="E160" s="14">
        <v>155</v>
      </c>
      <c r="F160" s="15">
        <f>RandomSelection(EMPLEADO!$J$4:$J$91)</f>
        <v>10</v>
      </c>
      <c r="H160" s="4" t="str">
        <f t="shared" si="5"/>
        <v>INSERT INTO Asistencia VALUES ('ASISTIO','14/10/2020','155','10');</v>
      </c>
    </row>
    <row r="161" spans="3:8" ht="15" x14ac:dyDescent="0.25">
      <c r="C161" s="16" t="str">
        <f t="shared" si="4"/>
        <v>FALTO</v>
      </c>
      <c r="D161" s="66" t="s">
        <v>648</v>
      </c>
      <c r="E161" s="14">
        <v>156</v>
      </c>
      <c r="F161" s="15">
        <f>RandomSelection(EMPLEADO!$J$4:$J$91)</f>
        <v>41</v>
      </c>
      <c r="H161" s="4" t="str">
        <f t="shared" si="5"/>
        <v>INSERT INTO Asistencia VALUES ('FALTO','12/09/2020','156','41');</v>
      </c>
    </row>
    <row r="162" spans="3:8" ht="15" x14ac:dyDescent="0.25">
      <c r="C162" s="16" t="str">
        <f t="shared" si="4"/>
        <v>ASISTIO</v>
      </c>
      <c r="D162" s="66" t="s">
        <v>649</v>
      </c>
      <c r="E162" s="14">
        <v>157</v>
      </c>
      <c r="F162" s="15">
        <f>RandomSelection(EMPLEADO!$J$4:$J$91)</f>
        <v>63</v>
      </c>
      <c r="H162" s="4" t="str">
        <f t="shared" si="5"/>
        <v>INSERT INTO Asistencia VALUES ('ASISTIO','11/10/2021','157','63');</v>
      </c>
    </row>
    <row r="163" spans="3:8" ht="15" x14ac:dyDescent="0.25">
      <c r="C163" s="16" t="str">
        <f t="shared" si="4"/>
        <v>FALTO</v>
      </c>
      <c r="D163" s="66" t="s">
        <v>650</v>
      </c>
      <c r="E163" s="14">
        <v>158</v>
      </c>
      <c r="F163" s="15">
        <f>RandomSelection(EMPLEADO!$J$4:$J$91)</f>
        <v>37</v>
      </c>
      <c r="H163" s="4" t="str">
        <f t="shared" si="5"/>
        <v>INSERT INTO Asistencia VALUES ('FALTO','28/10/2020','158','37');</v>
      </c>
    </row>
    <row r="164" spans="3:8" ht="15" x14ac:dyDescent="0.25">
      <c r="C164" s="16" t="str">
        <f t="shared" si="4"/>
        <v>TARDANZA</v>
      </c>
      <c r="D164" s="66" t="s">
        <v>651</v>
      </c>
      <c r="E164" s="14">
        <v>159</v>
      </c>
      <c r="F164" s="15">
        <f>RandomSelection(EMPLEADO!$J$4:$J$91)</f>
        <v>73</v>
      </c>
      <c r="H164" s="4" t="str">
        <f t="shared" si="5"/>
        <v>INSERT INTO Asistencia VALUES ('TARDANZA','19/04/2020','159','73');</v>
      </c>
    </row>
    <row r="165" spans="3:8" ht="15" x14ac:dyDescent="0.25">
      <c r="C165" s="16" t="str">
        <f t="shared" si="4"/>
        <v>FALTO</v>
      </c>
      <c r="D165" s="66" t="s">
        <v>652</v>
      </c>
      <c r="E165" s="14">
        <v>160</v>
      </c>
      <c r="F165" s="15">
        <f>RandomSelection(EMPLEADO!$J$4:$J$91)</f>
        <v>41</v>
      </c>
      <c r="H165" s="4" t="str">
        <f t="shared" si="5"/>
        <v>INSERT INTO Asistencia VALUES ('FALTO','16/02/2020','160','41');</v>
      </c>
    </row>
    <row r="166" spans="3:8" ht="15" x14ac:dyDescent="0.25">
      <c r="C166" s="16" t="str">
        <f t="shared" si="4"/>
        <v>FALTO</v>
      </c>
      <c r="D166" s="66" t="s">
        <v>537</v>
      </c>
      <c r="E166" s="14">
        <v>161</v>
      </c>
      <c r="F166" s="15">
        <f>RandomSelection(EMPLEADO!$J$4:$J$91)</f>
        <v>38</v>
      </c>
      <c r="H166" s="4" t="str">
        <f t="shared" si="5"/>
        <v>INSERT INTO Asistencia VALUES ('FALTO','25/01/2021','161','38');</v>
      </c>
    </row>
    <row r="167" spans="3:8" ht="15" x14ac:dyDescent="0.25">
      <c r="C167" s="16" t="str">
        <f t="shared" si="4"/>
        <v>TARDANZA</v>
      </c>
      <c r="D167" s="66" t="s">
        <v>653</v>
      </c>
      <c r="E167" s="14">
        <v>162</v>
      </c>
      <c r="F167" s="15">
        <f>RandomSelection(EMPLEADO!$J$4:$J$91)</f>
        <v>77</v>
      </c>
      <c r="H167" s="4" t="str">
        <f t="shared" si="5"/>
        <v>INSERT INTO Asistencia VALUES ('TARDANZA','17/07/2020','162','77');</v>
      </c>
    </row>
    <row r="168" spans="3:8" ht="15" x14ac:dyDescent="0.25">
      <c r="C168" s="16" t="str">
        <f t="shared" si="4"/>
        <v>FALTO</v>
      </c>
      <c r="D168" s="66" t="s">
        <v>639</v>
      </c>
      <c r="E168" s="14">
        <v>163</v>
      </c>
      <c r="F168" s="15">
        <f>RandomSelection(EMPLEADO!$J$4:$J$91)</f>
        <v>13</v>
      </c>
      <c r="H168" s="4" t="str">
        <f t="shared" si="5"/>
        <v>INSERT INTO Asistencia VALUES ('FALTO','10/10/2021','163','13');</v>
      </c>
    </row>
    <row r="169" spans="3:8" ht="15" x14ac:dyDescent="0.25">
      <c r="C169" s="16" t="str">
        <f t="shared" si="4"/>
        <v>FALTO</v>
      </c>
      <c r="D169" s="66" t="s">
        <v>645</v>
      </c>
      <c r="E169" s="14">
        <v>164</v>
      </c>
      <c r="F169" s="15">
        <f>RandomSelection(EMPLEADO!$J$4:$J$91)</f>
        <v>87</v>
      </c>
      <c r="H169" s="4" t="str">
        <f t="shared" si="5"/>
        <v>INSERT INTO Asistencia VALUES ('FALTO','6/05/2020','164','87');</v>
      </c>
    </row>
    <row r="170" spans="3:8" ht="15" x14ac:dyDescent="0.25">
      <c r="C170" s="16" t="str">
        <f t="shared" si="4"/>
        <v>ASISTIO</v>
      </c>
      <c r="D170" s="66" t="s">
        <v>654</v>
      </c>
      <c r="E170" s="14">
        <v>165</v>
      </c>
      <c r="F170" s="15">
        <f>RandomSelection(EMPLEADO!$J$4:$J$91)</f>
        <v>49</v>
      </c>
      <c r="H170" s="4" t="str">
        <f t="shared" si="5"/>
        <v>INSERT INTO Asistencia VALUES ('ASISTIO','14/08/2021','165','49');</v>
      </c>
    </row>
    <row r="171" spans="3:8" ht="15" x14ac:dyDescent="0.25">
      <c r="C171" s="16" t="str">
        <f t="shared" si="4"/>
        <v>FALTO</v>
      </c>
      <c r="D171" s="66" t="s">
        <v>655</v>
      </c>
      <c r="E171" s="14">
        <v>166</v>
      </c>
      <c r="F171" s="15">
        <f>RandomSelection(EMPLEADO!$J$4:$J$91)</f>
        <v>44</v>
      </c>
      <c r="H171" s="4" t="str">
        <f t="shared" si="5"/>
        <v>INSERT INTO Asistencia VALUES ('FALTO','5/11/2020','166','44');</v>
      </c>
    </row>
    <row r="172" spans="3:8" ht="15" x14ac:dyDescent="0.25">
      <c r="C172" s="16" t="str">
        <f t="shared" si="4"/>
        <v>TARDANZA</v>
      </c>
      <c r="D172" s="66" t="s">
        <v>656</v>
      </c>
      <c r="E172" s="14">
        <v>167</v>
      </c>
      <c r="F172" s="15">
        <f>RandomSelection(EMPLEADO!$J$4:$J$91)</f>
        <v>19</v>
      </c>
      <c r="H172" s="4" t="str">
        <f t="shared" si="5"/>
        <v>INSERT INTO Asistencia VALUES ('TARDANZA','2/03/2021','167','19');</v>
      </c>
    </row>
    <row r="173" spans="3:8" ht="15" x14ac:dyDescent="0.25">
      <c r="C173" s="16" t="str">
        <f t="shared" si="4"/>
        <v>ASISTIO</v>
      </c>
      <c r="D173" s="66" t="s">
        <v>657</v>
      </c>
      <c r="E173" s="14">
        <v>168</v>
      </c>
      <c r="F173" s="15">
        <f>RandomSelection(EMPLEADO!$J$4:$J$91)</f>
        <v>13</v>
      </c>
      <c r="H173" s="4" t="str">
        <f t="shared" si="5"/>
        <v>INSERT INTO Asistencia VALUES ('ASISTIO','27/04/2021','168','13');</v>
      </c>
    </row>
    <row r="174" spans="3:8" ht="15" x14ac:dyDescent="0.25">
      <c r="C174" s="16" t="str">
        <f t="shared" si="4"/>
        <v>ASISTIO</v>
      </c>
      <c r="D174" s="66" t="s">
        <v>621</v>
      </c>
      <c r="E174" s="14">
        <v>169</v>
      </c>
      <c r="F174" s="15">
        <f>RandomSelection(EMPLEADO!$J$4:$J$91)</f>
        <v>62</v>
      </c>
      <c r="H174" s="4" t="str">
        <f t="shared" si="5"/>
        <v>INSERT INTO Asistencia VALUES ('ASISTIO','7/07/2020','169','62');</v>
      </c>
    </row>
    <row r="175" spans="3:8" ht="15" x14ac:dyDescent="0.25">
      <c r="C175" s="16" t="str">
        <f t="shared" si="4"/>
        <v>FALTO</v>
      </c>
      <c r="D175" s="66" t="s">
        <v>658</v>
      </c>
      <c r="E175" s="14">
        <v>170</v>
      </c>
      <c r="F175" s="15">
        <f>RandomSelection(EMPLEADO!$J$4:$J$91)</f>
        <v>6</v>
      </c>
      <c r="H175" s="4" t="str">
        <f t="shared" si="5"/>
        <v>INSERT INTO Asistencia VALUES ('FALTO','7/11/2021','170','6');</v>
      </c>
    </row>
    <row r="176" spans="3:8" ht="15" x14ac:dyDescent="0.25">
      <c r="C176" s="16" t="str">
        <f t="shared" si="4"/>
        <v>ASISTIO</v>
      </c>
      <c r="D176" s="66" t="s">
        <v>659</v>
      </c>
      <c r="E176" s="14">
        <v>171</v>
      </c>
      <c r="F176" s="15">
        <f>RandomSelection(EMPLEADO!$J$4:$J$91)</f>
        <v>20</v>
      </c>
      <c r="H176" s="4" t="str">
        <f t="shared" si="5"/>
        <v>INSERT INTO Asistencia VALUES ('ASISTIO','27/03/2021','171','20');</v>
      </c>
    </row>
    <row r="177" spans="3:8" ht="15" x14ac:dyDescent="0.25">
      <c r="C177" s="16" t="str">
        <f t="shared" si="4"/>
        <v>TARDANZA</v>
      </c>
      <c r="D177" s="66" t="s">
        <v>525</v>
      </c>
      <c r="E177" s="14">
        <v>172</v>
      </c>
      <c r="F177" s="15">
        <f>RandomSelection(EMPLEADO!$J$4:$J$91)</f>
        <v>35</v>
      </c>
      <c r="H177" s="4" t="str">
        <f t="shared" si="5"/>
        <v>INSERT INTO Asistencia VALUES ('TARDANZA','26/06/2020','172','35');</v>
      </c>
    </row>
    <row r="178" spans="3:8" ht="15" x14ac:dyDescent="0.25">
      <c r="C178" s="16" t="str">
        <f t="shared" si="4"/>
        <v>FALTO</v>
      </c>
      <c r="D178" s="66" t="s">
        <v>590</v>
      </c>
      <c r="E178" s="14">
        <v>173</v>
      </c>
      <c r="F178" s="15">
        <f>RandomSelection(EMPLEADO!$J$4:$J$91)</f>
        <v>2</v>
      </c>
      <c r="H178" s="4" t="str">
        <f t="shared" si="5"/>
        <v>INSERT INTO Asistencia VALUES ('FALTO','3/04/2020','173','2');</v>
      </c>
    </row>
    <row r="179" spans="3:8" ht="15" x14ac:dyDescent="0.25">
      <c r="C179" s="16" t="str">
        <f t="shared" si="4"/>
        <v>TARDANZA</v>
      </c>
      <c r="D179" s="66" t="s">
        <v>660</v>
      </c>
      <c r="E179" s="14">
        <v>174</v>
      </c>
      <c r="F179" s="15">
        <f>RandomSelection(EMPLEADO!$J$4:$J$91)</f>
        <v>33</v>
      </c>
      <c r="H179" s="4" t="str">
        <f t="shared" si="5"/>
        <v>INSERT INTO Asistencia VALUES ('TARDANZA','21/02/2020','174','33');</v>
      </c>
    </row>
    <row r="180" spans="3:8" ht="15" x14ac:dyDescent="0.25">
      <c r="C180" s="16" t="str">
        <f t="shared" si="4"/>
        <v>ASISTIO</v>
      </c>
      <c r="D180" s="66" t="s">
        <v>661</v>
      </c>
      <c r="E180" s="14">
        <v>175</v>
      </c>
      <c r="F180" s="15">
        <f>RandomSelection(EMPLEADO!$J$4:$J$91)</f>
        <v>14</v>
      </c>
      <c r="H180" s="4" t="str">
        <f t="shared" si="5"/>
        <v>INSERT INTO Asistencia VALUES ('ASISTIO','9/08/2021','175','14');</v>
      </c>
    </row>
    <row r="181" spans="3:8" ht="15" x14ac:dyDescent="0.25">
      <c r="C181" s="16" t="str">
        <f t="shared" si="4"/>
        <v>FALTO</v>
      </c>
      <c r="D181" s="66" t="s">
        <v>662</v>
      </c>
      <c r="E181" s="14">
        <v>176</v>
      </c>
      <c r="F181" s="15">
        <f>RandomSelection(EMPLEADO!$J$4:$J$91)</f>
        <v>82</v>
      </c>
      <c r="H181" s="4" t="str">
        <f t="shared" si="5"/>
        <v>INSERT INTO Asistencia VALUES ('FALTO','30/05/2021','176','82');</v>
      </c>
    </row>
    <row r="182" spans="3:8" ht="15" x14ac:dyDescent="0.25">
      <c r="C182" s="16" t="str">
        <f t="shared" si="4"/>
        <v>TARDANZA</v>
      </c>
      <c r="D182" s="66" t="s">
        <v>540</v>
      </c>
      <c r="E182" s="14">
        <v>177</v>
      </c>
      <c r="F182" s="15">
        <f>RandomSelection(EMPLEADO!$J$4:$J$91)</f>
        <v>47</v>
      </c>
      <c r="H182" s="4" t="str">
        <f t="shared" si="5"/>
        <v>INSERT INTO Asistencia VALUES ('TARDANZA','30/07/2021','177','47');</v>
      </c>
    </row>
    <row r="183" spans="3:8" ht="15" x14ac:dyDescent="0.25">
      <c r="C183" s="16" t="str">
        <f t="shared" si="4"/>
        <v>ASISTIO</v>
      </c>
      <c r="D183" s="66" t="s">
        <v>663</v>
      </c>
      <c r="E183" s="14">
        <v>178</v>
      </c>
      <c r="F183" s="15">
        <f>RandomSelection(EMPLEADO!$J$4:$J$91)</f>
        <v>88</v>
      </c>
      <c r="H183" s="4" t="str">
        <f t="shared" si="5"/>
        <v>INSERT INTO Asistencia VALUES ('ASISTIO','1/01/2021','178','88');</v>
      </c>
    </row>
    <row r="184" spans="3:8" ht="15" x14ac:dyDescent="0.25">
      <c r="C184" s="16" t="str">
        <f t="shared" si="4"/>
        <v>TARDANZA</v>
      </c>
      <c r="D184" s="66" t="s">
        <v>679</v>
      </c>
      <c r="E184" s="14">
        <v>179</v>
      </c>
      <c r="F184" s="15">
        <f>RandomSelection(EMPLEADO!$J$4:$J$91)</f>
        <v>38</v>
      </c>
      <c r="H184" s="4" t="str">
        <f t="shared" si="5"/>
        <v>INSERT INTO Asistencia VALUES ('TARDANZA','10/02/2021','179','38');</v>
      </c>
    </row>
    <row r="185" spans="3:8" ht="15" x14ac:dyDescent="0.25">
      <c r="C185" s="16" t="str">
        <f t="shared" si="4"/>
        <v>ASISTIO</v>
      </c>
      <c r="D185" s="66" t="s">
        <v>573</v>
      </c>
      <c r="E185" s="14">
        <v>180</v>
      </c>
      <c r="F185" s="15">
        <f>RandomSelection(EMPLEADO!$J$4:$J$91)</f>
        <v>28</v>
      </c>
      <c r="H185" s="4" t="str">
        <f t="shared" si="5"/>
        <v>INSERT INTO Asistencia VALUES ('ASISTIO','4/12/2020','180','28');</v>
      </c>
    </row>
    <row r="186" spans="3:8" ht="15" x14ac:dyDescent="0.25">
      <c r="C186" s="16" t="str">
        <f t="shared" si="4"/>
        <v>ASISTIO</v>
      </c>
      <c r="D186" s="66" t="s">
        <v>664</v>
      </c>
      <c r="E186" s="14">
        <v>181</v>
      </c>
      <c r="F186" s="15">
        <f>RandomSelection(EMPLEADO!$J$4:$J$91)</f>
        <v>46</v>
      </c>
      <c r="H186" s="4" t="str">
        <f t="shared" si="5"/>
        <v>INSERT INTO Asistencia VALUES ('ASISTIO','29/02/2020','181','46');</v>
      </c>
    </row>
    <row r="187" spans="3:8" ht="15" x14ac:dyDescent="0.25">
      <c r="C187" s="16" t="str">
        <f t="shared" si="4"/>
        <v>ASISTIO</v>
      </c>
      <c r="D187" s="66" t="s">
        <v>559</v>
      </c>
      <c r="E187" s="14">
        <v>182</v>
      </c>
      <c r="F187" s="15">
        <f>RandomSelection(EMPLEADO!$J$4:$J$91)</f>
        <v>11</v>
      </c>
      <c r="H187" s="4" t="str">
        <f t="shared" si="5"/>
        <v>INSERT INTO Asistencia VALUES ('ASISTIO','29/10/2020','182','11');</v>
      </c>
    </row>
    <row r="188" spans="3:8" ht="15" x14ac:dyDescent="0.25">
      <c r="C188" s="16" t="str">
        <f t="shared" si="4"/>
        <v>FALTO</v>
      </c>
      <c r="D188" s="66" t="s">
        <v>665</v>
      </c>
      <c r="E188" s="14">
        <v>183</v>
      </c>
      <c r="F188" s="15">
        <f>RandomSelection(EMPLEADO!$J$4:$J$91)</f>
        <v>24</v>
      </c>
      <c r="H188" s="4" t="str">
        <f t="shared" si="5"/>
        <v>INSERT INTO Asistencia VALUES ('FALTO','9/03/2021','183','24');</v>
      </c>
    </row>
    <row r="189" spans="3:8" ht="15" x14ac:dyDescent="0.25">
      <c r="C189" s="16" t="str">
        <f t="shared" si="4"/>
        <v>FALTO</v>
      </c>
      <c r="D189" s="66" t="s">
        <v>666</v>
      </c>
      <c r="E189" s="14">
        <v>184</v>
      </c>
      <c r="F189" s="15">
        <f>RandomSelection(EMPLEADO!$J$4:$J$91)</f>
        <v>80</v>
      </c>
      <c r="H189" s="4" t="str">
        <f t="shared" si="5"/>
        <v>INSERT INTO Asistencia VALUES ('FALTO','5/10/2021','184','80');</v>
      </c>
    </row>
    <row r="190" spans="3:8" ht="15" x14ac:dyDescent="0.25">
      <c r="C190" s="16" t="str">
        <f t="shared" si="4"/>
        <v>ASISTIO</v>
      </c>
      <c r="D190" s="66" t="s">
        <v>667</v>
      </c>
      <c r="E190" s="14">
        <v>185</v>
      </c>
      <c r="F190" s="15">
        <f>RandomSelection(EMPLEADO!$J$4:$J$91)</f>
        <v>73</v>
      </c>
      <c r="H190" s="4" t="str">
        <f t="shared" si="5"/>
        <v>INSERT INTO Asistencia VALUES ('ASISTIO','5/04/2021','185','73');</v>
      </c>
    </row>
    <row r="191" spans="3:8" ht="15" x14ac:dyDescent="0.25">
      <c r="C191" s="16" t="str">
        <f t="shared" si="4"/>
        <v>FALTO</v>
      </c>
      <c r="D191" s="66" t="s">
        <v>668</v>
      </c>
      <c r="E191" s="14">
        <v>186</v>
      </c>
      <c r="F191" s="15">
        <f>RandomSelection(EMPLEADO!$J$4:$J$91)</f>
        <v>43</v>
      </c>
      <c r="H191" s="4" t="str">
        <f t="shared" si="5"/>
        <v>INSERT INTO Asistencia VALUES ('FALTO','26/08/2020','186','43');</v>
      </c>
    </row>
    <row r="192" spans="3:8" ht="15" x14ac:dyDescent="0.25">
      <c r="C192" s="16" t="str">
        <f t="shared" si="4"/>
        <v>ASISTIO</v>
      </c>
      <c r="D192" s="66" t="s">
        <v>562</v>
      </c>
      <c r="E192" s="14">
        <v>187</v>
      </c>
      <c r="F192" s="15">
        <f>RandomSelection(EMPLEADO!$J$4:$J$91)</f>
        <v>10</v>
      </c>
      <c r="H192" s="4" t="str">
        <f t="shared" si="5"/>
        <v>INSERT INTO Asistencia VALUES ('ASISTIO','15/11/2021','187','10');</v>
      </c>
    </row>
    <row r="193" spans="3:8" ht="15" x14ac:dyDescent="0.25">
      <c r="C193" s="16" t="str">
        <f t="shared" si="4"/>
        <v>FALTO</v>
      </c>
      <c r="D193" s="66" t="s">
        <v>669</v>
      </c>
      <c r="E193" s="14">
        <v>188</v>
      </c>
      <c r="F193" s="15">
        <f>RandomSelection(EMPLEADO!$J$4:$J$91)</f>
        <v>33</v>
      </c>
      <c r="H193" s="4" t="str">
        <f t="shared" si="5"/>
        <v>INSERT INTO Asistencia VALUES ('FALTO','6/09/2020','188','33');</v>
      </c>
    </row>
    <row r="194" spans="3:8" ht="15" x14ac:dyDescent="0.25">
      <c r="C194" s="16" t="str">
        <f t="shared" si="4"/>
        <v>FALTO</v>
      </c>
      <c r="D194" s="66" t="s">
        <v>670</v>
      </c>
      <c r="E194" s="14">
        <v>189</v>
      </c>
      <c r="F194" s="15">
        <f>RandomSelection(EMPLEADO!$J$4:$J$91)</f>
        <v>56</v>
      </c>
      <c r="H194" s="4" t="str">
        <f t="shared" si="5"/>
        <v>INSERT INTO Asistencia VALUES ('FALTO','23/12/2021','189','56');</v>
      </c>
    </row>
    <row r="195" spans="3:8" ht="15" x14ac:dyDescent="0.25">
      <c r="C195" s="16" t="str">
        <f t="shared" si="4"/>
        <v>TARDANZA</v>
      </c>
      <c r="D195" s="66" t="s">
        <v>671</v>
      </c>
      <c r="E195" s="14">
        <v>190</v>
      </c>
      <c r="F195" s="15">
        <f>RandomSelection(EMPLEADO!$J$4:$J$91)</f>
        <v>57</v>
      </c>
      <c r="H195" s="4" t="str">
        <f t="shared" si="5"/>
        <v>INSERT INTO Asistencia VALUES ('TARDANZA','6/10/2021','190','57');</v>
      </c>
    </row>
    <row r="196" spans="3:8" ht="15" x14ac:dyDescent="0.25">
      <c r="C196" s="16" t="str">
        <f t="shared" si="4"/>
        <v>ASISTIO</v>
      </c>
      <c r="D196" s="66" t="s">
        <v>672</v>
      </c>
      <c r="E196" s="14">
        <v>191</v>
      </c>
      <c r="F196" s="15">
        <f>RandomSelection(EMPLEADO!$J$4:$J$91)</f>
        <v>52</v>
      </c>
      <c r="H196" s="4" t="str">
        <f t="shared" si="5"/>
        <v>INSERT INTO Asistencia VALUES ('ASISTIO','27/11/2020','191','52');</v>
      </c>
    </row>
    <row r="197" spans="3:8" ht="15" x14ac:dyDescent="0.25">
      <c r="C197" s="16" t="str">
        <f t="shared" si="4"/>
        <v>FALTO</v>
      </c>
      <c r="D197" s="66" t="s">
        <v>606</v>
      </c>
      <c r="E197" s="14">
        <v>192</v>
      </c>
      <c r="F197" s="15">
        <f>RandomSelection(EMPLEADO!$J$4:$J$91)</f>
        <v>64</v>
      </c>
      <c r="H197" s="4" t="str">
        <f t="shared" si="5"/>
        <v>INSERT INTO Asistencia VALUES ('FALTO','19/07/2020','192','64');</v>
      </c>
    </row>
    <row r="198" spans="3:8" ht="15" x14ac:dyDescent="0.25">
      <c r="C198" s="16" t="str">
        <f t="shared" si="4"/>
        <v>ASISTIO</v>
      </c>
      <c r="D198" s="66" t="s">
        <v>673</v>
      </c>
      <c r="E198" s="14">
        <v>193</v>
      </c>
      <c r="F198" s="15">
        <f>RandomSelection(EMPLEADO!$J$4:$J$91)</f>
        <v>60</v>
      </c>
      <c r="H198" s="4" t="str">
        <f t="shared" si="5"/>
        <v>INSERT INTO Asistencia VALUES ('ASISTIO','20/10/2020','193','60');</v>
      </c>
    </row>
    <row r="199" spans="3:8" ht="15" x14ac:dyDescent="0.25">
      <c r="C199" s="16" t="str">
        <f t="shared" ref="C199:C205" si="6">RandomSelection($A$6:$A$8)</f>
        <v>FALTO</v>
      </c>
      <c r="D199" s="66" t="s">
        <v>674</v>
      </c>
      <c r="E199" s="14">
        <v>194</v>
      </c>
      <c r="F199" s="15">
        <f>RandomSelection(EMPLEADO!$J$4:$J$91)</f>
        <v>62</v>
      </c>
      <c r="H199" s="4" t="str">
        <f t="shared" ref="H199:H205" si="7">"INSERT INTO Asistencia VALUES ('"&amp;C199&amp;"','"&amp;D199&amp;"','"&amp;E199&amp;"','"&amp;F199&amp;"');"</f>
        <v>INSERT INTO Asistencia VALUES ('FALTO','12/02/2020','194','62');</v>
      </c>
    </row>
    <row r="200" spans="3:8" ht="15" x14ac:dyDescent="0.25">
      <c r="C200" s="16" t="str">
        <f t="shared" si="6"/>
        <v>FALTO</v>
      </c>
      <c r="D200" s="66" t="s">
        <v>675</v>
      </c>
      <c r="E200" s="14">
        <v>195</v>
      </c>
      <c r="F200" s="15">
        <f>RandomSelection(EMPLEADO!$J$4:$J$91)</f>
        <v>13</v>
      </c>
      <c r="H200" s="4" t="str">
        <f t="shared" si="7"/>
        <v>INSERT INTO Asistencia VALUES ('FALTO','12/02/2021','195','13');</v>
      </c>
    </row>
    <row r="201" spans="3:8" ht="15" x14ac:dyDescent="0.25">
      <c r="C201" s="16" t="str">
        <f t="shared" si="6"/>
        <v>FALTO</v>
      </c>
      <c r="D201" s="66" t="s">
        <v>676</v>
      </c>
      <c r="E201" s="14">
        <v>196</v>
      </c>
      <c r="F201" s="15">
        <f>RandomSelection(EMPLEADO!$J$4:$J$91)</f>
        <v>84</v>
      </c>
      <c r="H201" s="4" t="str">
        <f t="shared" si="7"/>
        <v>INSERT INTO Asistencia VALUES ('FALTO','20/09/2021','196','84');</v>
      </c>
    </row>
    <row r="202" spans="3:8" ht="15" x14ac:dyDescent="0.25">
      <c r="C202" s="16" t="str">
        <f t="shared" si="6"/>
        <v>FALTO</v>
      </c>
      <c r="D202" s="66" t="s">
        <v>677</v>
      </c>
      <c r="E202" s="14">
        <v>197</v>
      </c>
      <c r="F202" s="15">
        <f>RandomSelection(EMPLEADO!$J$4:$J$91)</f>
        <v>46</v>
      </c>
      <c r="H202" s="4" t="str">
        <f t="shared" si="7"/>
        <v>INSERT INTO Asistencia VALUES ('FALTO','10/02/2020','197','46');</v>
      </c>
    </row>
    <row r="203" spans="3:8" ht="15" x14ac:dyDescent="0.25">
      <c r="C203" s="16" t="str">
        <f t="shared" si="6"/>
        <v>TARDANZA</v>
      </c>
      <c r="D203" s="66" t="s">
        <v>511</v>
      </c>
      <c r="E203" s="14">
        <v>198</v>
      </c>
      <c r="F203" s="15">
        <f>RandomSelection(EMPLEADO!$J$4:$J$91)</f>
        <v>28</v>
      </c>
      <c r="H203" s="4" t="str">
        <f t="shared" si="7"/>
        <v>INSERT INTO Asistencia VALUES ('TARDANZA','16/08/2020','198','28');</v>
      </c>
    </row>
    <row r="204" spans="3:8" ht="15" x14ac:dyDescent="0.25">
      <c r="C204" s="16" t="str">
        <f t="shared" si="6"/>
        <v>ASISTIO</v>
      </c>
      <c r="D204" s="66" t="s">
        <v>573</v>
      </c>
      <c r="E204" s="14">
        <v>199</v>
      </c>
      <c r="F204" s="15">
        <f>RandomSelection(EMPLEADO!$J$4:$J$91)</f>
        <v>65</v>
      </c>
      <c r="H204" s="4" t="str">
        <f t="shared" si="7"/>
        <v>INSERT INTO Asistencia VALUES ('ASISTIO','4/12/2020','199','65');</v>
      </c>
    </row>
    <row r="205" spans="3:8" ht="15" x14ac:dyDescent="0.25">
      <c r="C205" s="16" t="str">
        <f t="shared" si="6"/>
        <v>ASISTIO</v>
      </c>
      <c r="D205" s="66" t="s">
        <v>678</v>
      </c>
      <c r="E205" s="14">
        <v>200</v>
      </c>
      <c r="F205" s="15">
        <f>RandomSelection(EMPLEADO!$J$4:$J$91)</f>
        <v>64</v>
      </c>
      <c r="H205" s="4" t="str">
        <f t="shared" si="7"/>
        <v>INSERT INTO Asistencia VALUES ('ASISTIO','15/05/2021','200','64');</v>
      </c>
    </row>
    <row r="206" spans="3:8" ht="15" x14ac:dyDescent="0.25">
      <c r="C206" s="16"/>
      <c r="D206" s="65">
        <f ca="1">DATE(RANDBETWEEN(2020,2021),RANDBETWEEN(1,12),RANDBETWEEN(1,30))</f>
        <v>44236</v>
      </c>
      <c r="E206" s="14"/>
      <c r="F206" s="15"/>
    </row>
    <row r="207" spans="3:8" ht="15" x14ac:dyDescent="0.25">
      <c r="C207" s="16"/>
      <c r="D207" s="65"/>
      <c r="E207" s="14"/>
      <c r="F207" s="15"/>
    </row>
    <row r="208" spans="3:8" ht="15" x14ac:dyDescent="0.25">
      <c r="C208" s="16"/>
      <c r="D208" s="65"/>
      <c r="E208" s="14"/>
      <c r="F208" s="15"/>
    </row>
    <row r="209" spans="3:6" ht="15" x14ac:dyDescent="0.25">
      <c r="C209" s="16"/>
      <c r="D209" s="65"/>
      <c r="E209" s="14"/>
      <c r="F209" s="15"/>
    </row>
    <row r="210" spans="3:6" ht="15" x14ac:dyDescent="0.25">
      <c r="C210" s="16"/>
      <c r="D210" s="65"/>
      <c r="E210" s="14"/>
      <c r="F210" s="15"/>
    </row>
    <row r="211" spans="3:6" ht="15" x14ac:dyDescent="0.25">
      <c r="C211" s="16"/>
      <c r="D211" s="65"/>
      <c r="E211" s="14"/>
      <c r="F211" s="15"/>
    </row>
    <row r="212" spans="3:6" ht="15" x14ac:dyDescent="0.25">
      <c r="C212" s="16"/>
      <c r="D212" s="65"/>
      <c r="E212" s="14"/>
      <c r="F212" s="15"/>
    </row>
    <row r="213" spans="3:6" ht="15" x14ac:dyDescent="0.25">
      <c r="C213" s="16"/>
      <c r="D213" s="65"/>
      <c r="E213" s="14"/>
      <c r="F213" s="15"/>
    </row>
    <row r="214" spans="3:6" ht="15" x14ac:dyDescent="0.25">
      <c r="C214" s="16"/>
      <c r="D214" s="65"/>
      <c r="E214" s="14"/>
      <c r="F214" s="15"/>
    </row>
    <row r="215" spans="3:6" ht="15" x14ac:dyDescent="0.25">
      <c r="C215" s="16"/>
      <c r="D215" s="65"/>
      <c r="E215" s="14"/>
      <c r="F215" s="15"/>
    </row>
    <row r="216" spans="3:6" ht="15" x14ac:dyDescent="0.25">
      <c r="C216" s="16"/>
      <c r="D216" s="65"/>
      <c r="E216" s="14"/>
      <c r="F216" s="15"/>
    </row>
    <row r="217" spans="3:6" ht="15" x14ac:dyDescent="0.25">
      <c r="C217" s="16"/>
      <c r="D217" s="65"/>
      <c r="E217" s="14"/>
      <c r="F217" s="15"/>
    </row>
    <row r="218" spans="3:6" ht="15" x14ac:dyDescent="0.25">
      <c r="C218" s="16"/>
      <c r="D218" s="65"/>
      <c r="E218" s="14"/>
      <c r="F218" s="15"/>
    </row>
    <row r="219" spans="3:6" ht="15" x14ac:dyDescent="0.25">
      <c r="C219" s="16"/>
      <c r="D219" s="65"/>
      <c r="E219" s="14"/>
      <c r="F219" s="15"/>
    </row>
    <row r="220" spans="3:6" ht="15" x14ac:dyDescent="0.25">
      <c r="C220" s="16"/>
      <c r="D220" s="65"/>
      <c r="E220" s="14"/>
      <c r="F220" s="15"/>
    </row>
    <row r="221" spans="3:6" ht="15" x14ac:dyDescent="0.25">
      <c r="C221" s="16"/>
      <c r="D221" s="65"/>
      <c r="E221" s="14"/>
      <c r="F221" s="15"/>
    </row>
    <row r="222" spans="3:6" ht="15" x14ac:dyDescent="0.25">
      <c r="C222" s="16"/>
      <c r="D222" s="65"/>
      <c r="E222" s="14"/>
      <c r="F222" s="15"/>
    </row>
    <row r="223" spans="3:6" ht="15" x14ac:dyDescent="0.25">
      <c r="C223" s="16"/>
      <c r="D223" s="65"/>
      <c r="E223" s="14"/>
      <c r="F223" s="15"/>
    </row>
    <row r="224" spans="3:6" ht="15" x14ac:dyDescent="0.25">
      <c r="C224" s="16"/>
      <c r="D224" s="65"/>
      <c r="E224" s="14"/>
      <c r="F224" s="15"/>
    </row>
    <row r="225" spans="3:6" ht="15" x14ac:dyDescent="0.25">
      <c r="C225" s="16"/>
      <c r="D225" s="65"/>
      <c r="E225" s="14"/>
      <c r="F225" s="15"/>
    </row>
    <row r="226" spans="3:6" ht="15" x14ac:dyDescent="0.25">
      <c r="C226" s="16"/>
      <c r="D226" s="65"/>
      <c r="E226" s="14"/>
      <c r="F226" s="15"/>
    </row>
    <row r="227" spans="3:6" ht="15" x14ac:dyDescent="0.25">
      <c r="C227" s="16"/>
      <c r="D227" s="65"/>
      <c r="E227" s="14"/>
      <c r="F227" s="15"/>
    </row>
    <row r="228" spans="3:6" ht="15" x14ac:dyDescent="0.25">
      <c r="C228" s="16"/>
      <c r="D228" s="65"/>
      <c r="E228" s="14"/>
      <c r="F228" s="15"/>
    </row>
  </sheetData>
  <mergeCells count="1">
    <mergeCell ref="C4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8D782-B0AA-46F2-9913-2D91E2399976}">
  <sheetPr>
    <tabColor rgb="FFC00000"/>
  </sheetPr>
  <dimension ref="A5:H58"/>
  <sheetViews>
    <sheetView tabSelected="1" topLeftCell="A4" workbookViewId="0">
      <selection activeCell="J5" sqref="J5"/>
    </sheetView>
  </sheetViews>
  <sheetFormatPr baseColWidth="10" defaultRowHeight="14.25" x14ac:dyDescent="0.2"/>
  <cols>
    <col min="1" max="1" width="28.75" bestFit="1" customWidth="1"/>
  </cols>
  <sheetData>
    <row r="5" spans="1:8" ht="15" x14ac:dyDescent="0.25">
      <c r="C5" s="63" t="s">
        <v>684</v>
      </c>
      <c r="D5" s="64"/>
      <c r="E5" s="64"/>
      <c r="F5" s="64"/>
    </row>
    <row r="6" spans="1:8" ht="15" x14ac:dyDescent="0.25">
      <c r="A6" t="s">
        <v>686</v>
      </c>
      <c r="C6" s="12" t="s">
        <v>376</v>
      </c>
      <c r="D6" s="13" t="s">
        <v>505</v>
      </c>
      <c r="E6" s="13" t="s">
        <v>506</v>
      </c>
      <c r="F6" s="13" t="s">
        <v>507</v>
      </c>
    </row>
    <row r="7" spans="1:8" ht="15" x14ac:dyDescent="0.25">
      <c r="A7" t="s">
        <v>683</v>
      </c>
      <c r="C7" s="16" t="str">
        <f>RandomSelection($A$6:$A$8)</f>
        <v>TARDANZAS</v>
      </c>
      <c r="D7" s="66" t="s">
        <v>673</v>
      </c>
      <c r="E7" s="14">
        <v>1</v>
      </c>
      <c r="F7" s="15">
        <f>RandomSelection(EMPLEADO!$J$4:$J$91)</f>
        <v>43</v>
      </c>
      <c r="H7" s="4" t="str">
        <f>"INSERT INTO Observacion VALUES ('"&amp;C7&amp;"','"&amp;D7&amp;"','"&amp;E7&amp;"','"&amp;F7&amp;"');"</f>
        <v>INSERT INTO Observacion VALUES ('TARDANZAS','20/10/2020','1','43');</v>
      </c>
    </row>
    <row r="8" spans="1:8" ht="15" x14ac:dyDescent="0.25">
      <c r="A8" t="s">
        <v>685</v>
      </c>
      <c r="C8" s="16" t="str">
        <f>RandomSelection($A$6:$A$8)</f>
        <v>TARDANZAS</v>
      </c>
      <c r="D8" s="66" t="s">
        <v>600</v>
      </c>
      <c r="E8" s="14">
        <v>2</v>
      </c>
      <c r="F8" s="15">
        <f>RandomSelection(EMPLEADO!$J$4:$J$91)</f>
        <v>78</v>
      </c>
      <c r="H8" s="4" t="str">
        <f t="shared" ref="H8:H56" si="0">"INSERT INTO Observacion VALUES ('"&amp;C8&amp;"','"&amp;D8&amp;"','"&amp;E8&amp;"','"&amp;F8&amp;"');"</f>
        <v>INSERT INTO Observacion VALUES ('TARDANZAS','16/01/2021','2','78');</v>
      </c>
    </row>
    <row r="9" spans="1:8" ht="15" x14ac:dyDescent="0.25">
      <c r="C9" s="16" t="str">
        <f>RandomSelection($A$6:$A$8)</f>
        <v>TARDANZAS</v>
      </c>
      <c r="D9" s="66" t="s">
        <v>687</v>
      </c>
      <c r="E9" s="14">
        <v>3</v>
      </c>
      <c r="F9" s="15">
        <f>RandomSelection(EMPLEADO!$J$4:$J$91)</f>
        <v>9</v>
      </c>
      <c r="H9" s="4" t="str">
        <f t="shared" si="0"/>
        <v>INSERT INTO Observacion VALUES ('TARDANZAS','3/02/2020','3','9');</v>
      </c>
    </row>
    <row r="10" spans="1:8" ht="15" x14ac:dyDescent="0.25">
      <c r="C10" s="16" t="str">
        <f>RandomSelection($A$6:$A$8)</f>
        <v>FALTA DE RESPETO</v>
      </c>
      <c r="D10" s="66" t="s">
        <v>688</v>
      </c>
      <c r="E10" s="14">
        <v>4</v>
      </c>
      <c r="F10" s="15">
        <f>RandomSelection(EMPLEADO!$J$4:$J$91)</f>
        <v>86</v>
      </c>
      <c r="H10" s="4" t="str">
        <f t="shared" si="0"/>
        <v>INSERT INTO Observacion VALUES ('FALTA DE RESPETO','17/06/2021','4','86');</v>
      </c>
    </row>
    <row r="11" spans="1:8" ht="15" x14ac:dyDescent="0.25">
      <c r="C11" s="16" t="str">
        <f>RandomSelection($A$6:$A$8)</f>
        <v>TARDANZAS</v>
      </c>
      <c r="D11" s="66" t="s">
        <v>689</v>
      </c>
      <c r="E11" s="14">
        <v>5</v>
      </c>
      <c r="F11" s="15">
        <f>RandomSelection(EMPLEADO!$J$4:$J$91)</f>
        <v>12</v>
      </c>
      <c r="H11" s="4" t="str">
        <f t="shared" si="0"/>
        <v>INSERT INTO Observacion VALUES ('TARDANZAS','25/03/2020','5','12');</v>
      </c>
    </row>
    <row r="12" spans="1:8" ht="15" x14ac:dyDescent="0.25">
      <c r="C12" s="16" t="str">
        <f>RandomSelection($A$6:$A$8)</f>
        <v>FALTA DE RESPETO</v>
      </c>
      <c r="D12" s="66" t="s">
        <v>690</v>
      </c>
      <c r="E12" s="14">
        <v>6</v>
      </c>
      <c r="F12" s="15">
        <f>RandomSelection(EMPLEADO!$J$4:$J$91)</f>
        <v>65</v>
      </c>
      <c r="H12" s="4" t="str">
        <f t="shared" si="0"/>
        <v>INSERT INTO Observacion VALUES ('FALTA DE RESPETO','26/01/2020','6','65');</v>
      </c>
    </row>
    <row r="13" spans="1:8" ht="15" x14ac:dyDescent="0.25">
      <c r="C13" s="16" t="str">
        <f>RandomSelection($A$6:$A$8)</f>
        <v>FALTA DE RESPETO</v>
      </c>
      <c r="D13" s="66" t="s">
        <v>691</v>
      </c>
      <c r="E13" s="14">
        <v>7</v>
      </c>
      <c r="F13" s="15">
        <f>RandomSelection(EMPLEADO!$J$4:$J$91)</f>
        <v>81</v>
      </c>
      <c r="H13" s="4" t="str">
        <f t="shared" si="0"/>
        <v>INSERT INTO Observacion VALUES ('FALTA DE RESPETO','7/04/2020','7','81');</v>
      </c>
    </row>
    <row r="14" spans="1:8" ht="15" x14ac:dyDescent="0.25">
      <c r="C14" s="16" t="str">
        <f>RandomSelection($A$6:$A$8)</f>
        <v>FALTA DE RESPETO</v>
      </c>
      <c r="D14" s="66" t="s">
        <v>692</v>
      </c>
      <c r="E14" s="14">
        <v>8</v>
      </c>
      <c r="F14" s="15">
        <f>RandomSelection(EMPLEADO!$J$4:$J$91)</f>
        <v>76</v>
      </c>
      <c r="H14" s="4" t="str">
        <f t="shared" si="0"/>
        <v>INSERT INTO Observacion VALUES ('FALTA DE RESPETO','9/12/2021','8','76');</v>
      </c>
    </row>
    <row r="15" spans="1:8" ht="15" x14ac:dyDescent="0.25">
      <c r="C15" s="16" t="str">
        <f>RandomSelection($A$6:$A$8)</f>
        <v>TARDANZAS</v>
      </c>
      <c r="D15" s="66" t="s">
        <v>674</v>
      </c>
      <c r="E15" s="14">
        <v>9</v>
      </c>
      <c r="F15" s="15">
        <f>RandomSelection(EMPLEADO!$J$4:$J$91)</f>
        <v>80</v>
      </c>
      <c r="H15" s="4" t="str">
        <f t="shared" si="0"/>
        <v>INSERT INTO Observacion VALUES ('TARDANZAS','12/02/2020','9','80');</v>
      </c>
    </row>
    <row r="16" spans="1:8" ht="15" x14ac:dyDescent="0.25">
      <c r="C16" s="16" t="str">
        <f t="shared" ref="C16:C58" si="1">RandomSelection($A$6:$A$8)</f>
        <v>TARDANZAS</v>
      </c>
      <c r="D16" s="66" t="s">
        <v>693</v>
      </c>
      <c r="E16" s="14">
        <v>10</v>
      </c>
      <c r="F16" s="15">
        <f>RandomSelection(EMPLEADO!$J$4:$J$91)</f>
        <v>49</v>
      </c>
      <c r="H16" s="4" t="str">
        <f t="shared" si="0"/>
        <v>INSERT INTO Observacion VALUES ('TARDANZAS','22/11/2020','10','49');</v>
      </c>
    </row>
    <row r="17" spans="3:8" ht="15" x14ac:dyDescent="0.25">
      <c r="C17" s="16" t="str">
        <f t="shared" si="1"/>
        <v>INCUMPLIMIENTO DE LABORES</v>
      </c>
      <c r="D17" s="66" t="s">
        <v>694</v>
      </c>
      <c r="E17" s="14">
        <v>11</v>
      </c>
      <c r="F17" s="15">
        <f>RandomSelection(EMPLEADO!$J$4:$J$91)</f>
        <v>55</v>
      </c>
      <c r="H17" s="4" t="str">
        <f t="shared" si="0"/>
        <v>INSERT INTO Observacion VALUES ('INCUMPLIMIENTO DE LABORES','19/05/2021','11','55');</v>
      </c>
    </row>
    <row r="18" spans="3:8" ht="15" x14ac:dyDescent="0.25">
      <c r="C18" s="16" t="str">
        <f t="shared" si="1"/>
        <v>FALTA DE RESPETO</v>
      </c>
      <c r="D18" s="66" t="s">
        <v>695</v>
      </c>
      <c r="E18" s="14">
        <v>12</v>
      </c>
      <c r="F18" s="15">
        <f>RandomSelection(EMPLEADO!$J$4:$J$91)</f>
        <v>67</v>
      </c>
      <c r="H18" s="4" t="str">
        <f t="shared" si="0"/>
        <v>INSERT INTO Observacion VALUES ('FALTA DE RESPETO','12/01/2020','12','67');</v>
      </c>
    </row>
    <row r="19" spans="3:8" ht="15" x14ac:dyDescent="0.25">
      <c r="C19" s="16" t="str">
        <f t="shared" si="1"/>
        <v>FALTA DE RESPETO</v>
      </c>
      <c r="D19" s="66" t="s">
        <v>576</v>
      </c>
      <c r="E19" s="14">
        <v>13</v>
      </c>
      <c r="F19" s="15">
        <f>RandomSelection(EMPLEADO!$J$4:$J$91)</f>
        <v>41</v>
      </c>
      <c r="H19" s="4" t="str">
        <f t="shared" si="0"/>
        <v>INSERT INTO Observacion VALUES ('FALTA DE RESPETO','26/01/2021','13','41');</v>
      </c>
    </row>
    <row r="20" spans="3:8" ht="15" x14ac:dyDescent="0.25">
      <c r="C20" s="16" t="str">
        <f t="shared" si="1"/>
        <v>INCUMPLIMIENTO DE LABORES</v>
      </c>
      <c r="D20" s="66" t="s">
        <v>696</v>
      </c>
      <c r="E20" s="14">
        <v>14</v>
      </c>
      <c r="F20" s="15">
        <f>RandomSelection(EMPLEADO!$J$4:$J$91)</f>
        <v>17</v>
      </c>
      <c r="H20" s="4" t="str">
        <f t="shared" si="0"/>
        <v>INSERT INTO Observacion VALUES ('INCUMPLIMIENTO DE LABORES','10/09/2021','14','17');</v>
      </c>
    </row>
    <row r="21" spans="3:8" ht="15" x14ac:dyDescent="0.25">
      <c r="C21" s="16" t="str">
        <f t="shared" si="1"/>
        <v>TARDANZAS</v>
      </c>
      <c r="D21" s="66" t="s">
        <v>678</v>
      </c>
      <c r="E21" s="14">
        <v>15</v>
      </c>
      <c r="F21" s="15">
        <f>RandomSelection(EMPLEADO!$J$4:$J$91)</f>
        <v>26</v>
      </c>
      <c r="H21" s="4" t="str">
        <f t="shared" si="0"/>
        <v>INSERT INTO Observacion VALUES ('TARDANZAS','15/05/2021','15','26');</v>
      </c>
    </row>
    <row r="22" spans="3:8" ht="15" x14ac:dyDescent="0.25">
      <c r="C22" s="16" t="str">
        <f t="shared" si="1"/>
        <v>FALTA DE RESPETO</v>
      </c>
      <c r="D22" s="66" t="s">
        <v>697</v>
      </c>
      <c r="E22" s="14">
        <v>16</v>
      </c>
      <c r="F22" s="15">
        <f>RandomSelection(EMPLEADO!$J$4:$J$91)</f>
        <v>39</v>
      </c>
      <c r="H22" s="4" t="str">
        <f t="shared" si="0"/>
        <v>INSERT INTO Observacion VALUES ('FALTA DE RESPETO','26/12/2020','16','39');</v>
      </c>
    </row>
    <row r="23" spans="3:8" ht="15" x14ac:dyDescent="0.25">
      <c r="C23" s="16" t="str">
        <f t="shared" si="1"/>
        <v>FALTA DE RESPETO</v>
      </c>
      <c r="D23" s="66" t="s">
        <v>698</v>
      </c>
      <c r="E23" s="14">
        <v>17</v>
      </c>
      <c r="F23" s="15">
        <f>RandomSelection(EMPLEADO!$J$4:$J$91)</f>
        <v>54</v>
      </c>
      <c r="H23" s="4" t="str">
        <f t="shared" si="0"/>
        <v>INSERT INTO Observacion VALUES ('FALTA DE RESPETO','14/03/2020','17','54');</v>
      </c>
    </row>
    <row r="24" spans="3:8" ht="15" x14ac:dyDescent="0.25">
      <c r="C24" s="16" t="str">
        <f t="shared" si="1"/>
        <v>TARDANZAS</v>
      </c>
      <c r="D24" s="66" t="s">
        <v>699</v>
      </c>
      <c r="E24" s="14">
        <v>18</v>
      </c>
      <c r="F24" s="15">
        <f>RandomSelection(EMPLEADO!$J$4:$J$91)</f>
        <v>58</v>
      </c>
      <c r="H24" s="4" t="str">
        <f t="shared" si="0"/>
        <v>INSERT INTO Observacion VALUES ('TARDANZAS','13/11/2020','18','58');</v>
      </c>
    </row>
    <row r="25" spans="3:8" ht="15" x14ac:dyDescent="0.25">
      <c r="C25" s="16" t="str">
        <f t="shared" si="1"/>
        <v>INCUMPLIMIENTO DE LABORES</v>
      </c>
      <c r="D25" s="66" t="s">
        <v>700</v>
      </c>
      <c r="E25" s="14">
        <v>19</v>
      </c>
      <c r="F25" s="15">
        <f>RandomSelection(EMPLEADO!$J$4:$J$91)</f>
        <v>69</v>
      </c>
      <c r="H25" s="4" t="str">
        <f t="shared" si="0"/>
        <v>INSERT INTO Observacion VALUES ('INCUMPLIMIENTO DE LABORES','12/07/2021','19','69');</v>
      </c>
    </row>
    <row r="26" spans="3:8" ht="15" x14ac:dyDescent="0.25">
      <c r="C26" s="16" t="str">
        <f t="shared" si="1"/>
        <v>INCUMPLIMIENTO DE LABORES</v>
      </c>
      <c r="D26" s="66" t="s">
        <v>701</v>
      </c>
      <c r="E26" s="14">
        <v>20</v>
      </c>
      <c r="F26" s="15">
        <f>RandomSelection(EMPLEADO!$J$4:$J$91)</f>
        <v>20</v>
      </c>
      <c r="H26" s="4" t="str">
        <f t="shared" si="0"/>
        <v>INSERT INTO Observacion VALUES ('INCUMPLIMIENTO DE LABORES','19/06/2021','20','20');</v>
      </c>
    </row>
    <row r="27" spans="3:8" ht="15" x14ac:dyDescent="0.25">
      <c r="C27" s="16" t="str">
        <f t="shared" si="1"/>
        <v>TARDANZAS</v>
      </c>
      <c r="D27" s="66" t="s">
        <v>608</v>
      </c>
      <c r="E27" s="14">
        <v>21</v>
      </c>
      <c r="F27" s="15">
        <f>RandomSelection(EMPLEADO!$J$4:$J$91)</f>
        <v>52</v>
      </c>
      <c r="H27" s="4" t="str">
        <f t="shared" si="0"/>
        <v>INSERT INTO Observacion VALUES ('TARDANZAS','22/03/2021','21','52');</v>
      </c>
    </row>
    <row r="28" spans="3:8" ht="15" x14ac:dyDescent="0.25">
      <c r="C28" s="16" t="str">
        <f t="shared" si="1"/>
        <v>FALTA DE RESPETO</v>
      </c>
      <c r="D28" s="66" t="s">
        <v>702</v>
      </c>
      <c r="E28" s="14">
        <v>22</v>
      </c>
      <c r="F28" s="15">
        <f>RandomSelection(EMPLEADO!$J$4:$J$91)</f>
        <v>28</v>
      </c>
      <c r="H28" s="4" t="str">
        <f t="shared" si="0"/>
        <v>INSERT INTO Observacion VALUES ('FALTA DE RESPETO','6/06/2020','22','28');</v>
      </c>
    </row>
    <row r="29" spans="3:8" ht="15" x14ac:dyDescent="0.25">
      <c r="C29" s="16" t="str">
        <f t="shared" si="1"/>
        <v>FALTA DE RESPETO</v>
      </c>
      <c r="D29" s="66" t="s">
        <v>703</v>
      </c>
      <c r="E29" s="14">
        <v>23</v>
      </c>
      <c r="F29" s="15">
        <f>RandomSelection(EMPLEADO!$J$4:$J$91)</f>
        <v>65</v>
      </c>
      <c r="H29" s="4" t="str">
        <f t="shared" si="0"/>
        <v>INSERT INTO Observacion VALUES ('FALTA DE RESPETO','9/12/2020','23','65');</v>
      </c>
    </row>
    <row r="30" spans="3:8" ht="15" x14ac:dyDescent="0.25">
      <c r="C30" s="16" t="str">
        <f t="shared" si="1"/>
        <v>INCUMPLIMIENTO DE LABORES</v>
      </c>
      <c r="D30" s="66" t="s">
        <v>704</v>
      </c>
      <c r="E30" s="14">
        <v>24</v>
      </c>
      <c r="F30" s="15">
        <f>RandomSelection(EMPLEADO!$J$4:$J$91)</f>
        <v>18</v>
      </c>
      <c r="H30" s="4" t="str">
        <f t="shared" si="0"/>
        <v>INSERT INTO Observacion VALUES ('INCUMPLIMIENTO DE LABORES','24/08/2021','24','18');</v>
      </c>
    </row>
    <row r="31" spans="3:8" ht="15" x14ac:dyDescent="0.25">
      <c r="C31" s="16" t="str">
        <f t="shared" si="1"/>
        <v>FALTA DE RESPETO</v>
      </c>
      <c r="D31" s="66" t="s">
        <v>705</v>
      </c>
      <c r="E31" s="14">
        <v>25</v>
      </c>
      <c r="F31" s="15">
        <f>RandomSelection(EMPLEADO!$J$4:$J$91)</f>
        <v>15</v>
      </c>
      <c r="H31" s="4" t="str">
        <f t="shared" si="0"/>
        <v>INSERT INTO Observacion VALUES ('FALTA DE RESPETO','12/12/2020','25','15');</v>
      </c>
    </row>
    <row r="32" spans="3:8" ht="15" x14ac:dyDescent="0.25">
      <c r="C32" s="16" t="str">
        <f t="shared" si="1"/>
        <v>FALTA DE RESPETO</v>
      </c>
      <c r="D32" s="66" t="s">
        <v>703</v>
      </c>
      <c r="E32" s="14">
        <v>26</v>
      </c>
      <c r="F32" s="15">
        <f>RandomSelection(EMPLEADO!$J$4:$J$91)</f>
        <v>6</v>
      </c>
      <c r="H32" s="4" t="str">
        <f t="shared" si="0"/>
        <v>INSERT INTO Observacion VALUES ('FALTA DE RESPETO','9/12/2020','26','6');</v>
      </c>
    </row>
    <row r="33" spans="3:8" ht="15" x14ac:dyDescent="0.25">
      <c r="C33" s="16" t="str">
        <f t="shared" si="1"/>
        <v>FALTA DE RESPETO</v>
      </c>
      <c r="D33" s="66" t="s">
        <v>706</v>
      </c>
      <c r="E33" s="14">
        <v>27</v>
      </c>
      <c r="F33" s="15">
        <f>RandomSelection(EMPLEADO!$J$4:$J$91)</f>
        <v>22</v>
      </c>
      <c r="H33" s="4" t="str">
        <f t="shared" si="0"/>
        <v>INSERT INTO Observacion VALUES ('FALTA DE RESPETO','18/03/2020','27','22');</v>
      </c>
    </row>
    <row r="34" spans="3:8" ht="15" x14ac:dyDescent="0.25">
      <c r="C34" s="16" t="str">
        <f t="shared" si="1"/>
        <v>FALTA DE RESPETO</v>
      </c>
      <c r="D34" s="66" t="s">
        <v>707</v>
      </c>
      <c r="E34" s="14">
        <v>28</v>
      </c>
      <c r="F34" s="15">
        <f>RandomSelection(EMPLEADO!$J$4:$J$91)</f>
        <v>1</v>
      </c>
      <c r="H34" s="4" t="str">
        <f t="shared" si="0"/>
        <v>INSERT INTO Observacion VALUES ('FALTA DE RESPETO','17/08/2020','28','1');</v>
      </c>
    </row>
    <row r="35" spans="3:8" ht="15" x14ac:dyDescent="0.25">
      <c r="C35" s="16" t="str">
        <f t="shared" si="1"/>
        <v>INCUMPLIMIENTO DE LABORES</v>
      </c>
      <c r="D35" s="66" t="s">
        <v>708</v>
      </c>
      <c r="E35" s="14">
        <v>29</v>
      </c>
      <c r="F35" s="15">
        <f>RandomSelection(EMPLEADO!$J$4:$J$91)</f>
        <v>67</v>
      </c>
      <c r="H35" s="4" t="str">
        <f t="shared" si="0"/>
        <v>INSERT INTO Observacion VALUES ('INCUMPLIMIENTO DE LABORES','24/07/2021','29','67');</v>
      </c>
    </row>
    <row r="36" spans="3:8" ht="15" x14ac:dyDescent="0.25">
      <c r="C36" s="16" t="str">
        <f t="shared" si="1"/>
        <v>FALTA DE RESPETO</v>
      </c>
      <c r="D36" s="66" t="s">
        <v>709</v>
      </c>
      <c r="E36" s="14">
        <v>30</v>
      </c>
      <c r="F36" s="15">
        <f>RandomSelection(EMPLEADO!$J$4:$J$91)</f>
        <v>67</v>
      </c>
      <c r="H36" s="4" t="str">
        <f t="shared" si="0"/>
        <v>INSERT INTO Observacion VALUES ('FALTA DE RESPETO','3/10/2021','30','67');</v>
      </c>
    </row>
    <row r="37" spans="3:8" ht="15" x14ac:dyDescent="0.25">
      <c r="C37" s="16" t="str">
        <f t="shared" si="1"/>
        <v>TARDANZAS</v>
      </c>
      <c r="D37" s="66" t="s">
        <v>710</v>
      </c>
      <c r="E37" s="14">
        <v>31</v>
      </c>
      <c r="F37" s="15">
        <f>RandomSelection(EMPLEADO!$J$4:$J$91)</f>
        <v>20</v>
      </c>
      <c r="H37" s="4" t="str">
        <f t="shared" si="0"/>
        <v>INSERT INTO Observacion VALUES ('TARDANZAS','19/05/2020','31','20');</v>
      </c>
    </row>
    <row r="38" spans="3:8" ht="15" x14ac:dyDescent="0.25">
      <c r="C38" s="16" t="str">
        <f t="shared" si="1"/>
        <v>TARDANZAS</v>
      </c>
      <c r="D38" s="66" t="s">
        <v>563</v>
      </c>
      <c r="E38" s="14">
        <v>32</v>
      </c>
      <c r="F38" s="15">
        <f>RandomSelection(EMPLEADO!$J$4:$J$91)</f>
        <v>2</v>
      </c>
      <c r="H38" s="4" t="str">
        <f t="shared" si="0"/>
        <v>INSERT INTO Observacion VALUES ('TARDANZAS','8/04/2020','32','2');</v>
      </c>
    </row>
    <row r="39" spans="3:8" ht="15" x14ac:dyDescent="0.25">
      <c r="C39" s="16" t="str">
        <f t="shared" si="1"/>
        <v>INCUMPLIMIENTO DE LABORES</v>
      </c>
      <c r="D39" s="66" t="s">
        <v>711</v>
      </c>
      <c r="E39" s="14">
        <v>33</v>
      </c>
      <c r="F39" s="15">
        <f>RandomSelection(EMPLEADO!$J$4:$J$91)</f>
        <v>46</v>
      </c>
      <c r="H39" s="4" t="str">
        <f t="shared" si="0"/>
        <v>INSERT INTO Observacion VALUES ('INCUMPLIMIENTO DE LABORES','28/11/2021','33','46');</v>
      </c>
    </row>
    <row r="40" spans="3:8" ht="15" x14ac:dyDescent="0.25">
      <c r="C40" s="16" t="str">
        <f t="shared" si="1"/>
        <v>INCUMPLIMIENTO DE LABORES</v>
      </c>
      <c r="D40" s="66" t="s">
        <v>712</v>
      </c>
      <c r="E40" s="14">
        <v>34</v>
      </c>
      <c r="F40" s="15">
        <f>RandomSelection(EMPLEADO!$J$4:$J$91)</f>
        <v>48</v>
      </c>
      <c r="H40" s="4" t="str">
        <f t="shared" si="0"/>
        <v>INSERT INTO Observacion VALUES ('INCUMPLIMIENTO DE LABORES','22/09/2021','34','48');</v>
      </c>
    </row>
    <row r="41" spans="3:8" ht="15" x14ac:dyDescent="0.25">
      <c r="C41" s="16" t="str">
        <f t="shared" si="1"/>
        <v>TARDANZAS</v>
      </c>
      <c r="D41" s="66" t="s">
        <v>709</v>
      </c>
      <c r="E41" s="14">
        <v>35</v>
      </c>
      <c r="F41" s="15">
        <f>RandomSelection(EMPLEADO!$J$4:$J$91)</f>
        <v>3</v>
      </c>
      <c r="H41" s="4" t="str">
        <f t="shared" si="0"/>
        <v>INSERT INTO Observacion VALUES ('TARDANZAS','3/10/2021','35','3');</v>
      </c>
    </row>
    <row r="42" spans="3:8" ht="15" x14ac:dyDescent="0.25">
      <c r="C42" s="16" t="str">
        <f t="shared" si="1"/>
        <v>TARDANZAS</v>
      </c>
      <c r="D42" s="66" t="s">
        <v>713</v>
      </c>
      <c r="E42" s="14">
        <v>36</v>
      </c>
      <c r="F42" s="15">
        <f>RandomSelection(EMPLEADO!$J$4:$J$91)</f>
        <v>10</v>
      </c>
      <c r="H42" s="4" t="str">
        <f t="shared" si="0"/>
        <v>INSERT INTO Observacion VALUES ('TARDANZAS','13/02/2021','36','10');</v>
      </c>
    </row>
    <row r="43" spans="3:8" ht="15" x14ac:dyDescent="0.25">
      <c r="C43" s="16" t="str">
        <f t="shared" si="1"/>
        <v>INCUMPLIMIENTO DE LABORES</v>
      </c>
      <c r="D43" s="66" t="s">
        <v>569</v>
      </c>
      <c r="E43" s="14">
        <v>37</v>
      </c>
      <c r="F43" s="15">
        <f>RandomSelection(EMPLEADO!$J$4:$J$91)</f>
        <v>62</v>
      </c>
      <c r="H43" s="4" t="str">
        <f t="shared" si="0"/>
        <v>INSERT INTO Observacion VALUES ('INCUMPLIMIENTO DE LABORES','26/06/2021','37','62');</v>
      </c>
    </row>
    <row r="44" spans="3:8" ht="15" x14ac:dyDescent="0.25">
      <c r="C44" s="16" t="str">
        <f t="shared" si="1"/>
        <v>FALTA DE RESPETO</v>
      </c>
      <c r="D44" s="66" t="s">
        <v>713</v>
      </c>
      <c r="E44" s="14">
        <v>38</v>
      </c>
      <c r="F44" s="15">
        <f>RandomSelection(EMPLEADO!$J$4:$J$91)</f>
        <v>46</v>
      </c>
      <c r="H44" s="4" t="str">
        <f t="shared" si="0"/>
        <v>INSERT INTO Observacion VALUES ('FALTA DE RESPETO','13/02/2021','38','46');</v>
      </c>
    </row>
    <row r="45" spans="3:8" ht="15" x14ac:dyDescent="0.25">
      <c r="C45" s="16" t="str">
        <f t="shared" si="1"/>
        <v>TARDANZAS</v>
      </c>
      <c r="D45" s="66" t="s">
        <v>714</v>
      </c>
      <c r="E45" s="14">
        <v>39</v>
      </c>
      <c r="F45" s="15">
        <f>RandomSelection(EMPLEADO!$J$4:$J$91)</f>
        <v>27</v>
      </c>
      <c r="H45" s="4" t="str">
        <f t="shared" si="0"/>
        <v>INSERT INTO Observacion VALUES ('TARDANZAS','30/04/2020','39','27');</v>
      </c>
    </row>
    <row r="46" spans="3:8" ht="15" x14ac:dyDescent="0.25">
      <c r="C46" s="16" t="str">
        <f t="shared" si="1"/>
        <v>TARDANZAS</v>
      </c>
      <c r="D46" s="66" t="s">
        <v>715</v>
      </c>
      <c r="E46" s="14">
        <v>40</v>
      </c>
      <c r="F46" s="15">
        <f>RandomSelection(EMPLEADO!$J$4:$J$91)</f>
        <v>13</v>
      </c>
      <c r="H46" s="4" t="str">
        <f t="shared" si="0"/>
        <v>INSERT INTO Observacion VALUES ('TARDANZAS','3/11/2021','40','13');</v>
      </c>
    </row>
    <row r="47" spans="3:8" ht="15" x14ac:dyDescent="0.25">
      <c r="C47" s="16" t="str">
        <f t="shared" si="1"/>
        <v>FALTA DE RESPETO</v>
      </c>
      <c r="D47" s="66" t="s">
        <v>716</v>
      </c>
      <c r="E47" s="14">
        <v>41</v>
      </c>
      <c r="F47" s="15">
        <f>RandomSelection(EMPLEADO!$J$4:$J$91)</f>
        <v>33</v>
      </c>
      <c r="H47" s="4" t="str">
        <f t="shared" si="0"/>
        <v>INSERT INTO Observacion VALUES ('FALTA DE RESPETO','27/08/2021','41','33');</v>
      </c>
    </row>
    <row r="48" spans="3:8" ht="15" x14ac:dyDescent="0.25">
      <c r="C48" s="16" t="str">
        <f t="shared" si="1"/>
        <v>FALTA DE RESPETO</v>
      </c>
      <c r="D48" s="66" t="s">
        <v>717</v>
      </c>
      <c r="E48" s="14">
        <v>42</v>
      </c>
      <c r="F48" s="15">
        <f>RandomSelection(EMPLEADO!$J$4:$J$91)</f>
        <v>29</v>
      </c>
      <c r="H48" s="4" t="str">
        <f t="shared" si="0"/>
        <v>INSERT INTO Observacion VALUES ('FALTA DE RESPETO','10/12/2021','42','29');</v>
      </c>
    </row>
    <row r="49" spans="3:8" ht="15" x14ac:dyDescent="0.25">
      <c r="C49" s="16" t="str">
        <f t="shared" si="1"/>
        <v>TARDANZAS</v>
      </c>
      <c r="D49" s="66" t="s">
        <v>718</v>
      </c>
      <c r="E49" s="14">
        <v>43</v>
      </c>
      <c r="F49" s="15">
        <f>RandomSelection(EMPLEADO!$J$4:$J$91)</f>
        <v>12</v>
      </c>
      <c r="H49" s="4" t="str">
        <f t="shared" si="0"/>
        <v>INSERT INTO Observacion VALUES ('TARDANZAS','6/10/2020','43','12');</v>
      </c>
    </row>
    <row r="50" spans="3:8" ht="15" x14ac:dyDescent="0.25">
      <c r="C50" s="16" t="str">
        <f t="shared" si="1"/>
        <v>FALTA DE RESPETO</v>
      </c>
      <c r="D50" s="66" t="s">
        <v>708</v>
      </c>
      <c r="E50" s="14">
        <v>44</v>
      </c>
      <c r="F50" s="15">
        <f>RandomSelection(EMPLEADO!$J$4:$J$91)</f>
        <v>24</v>
      </c>
      <c r="H50" s="4" t="str">
        <f t="shared" si="0"/>
        <v>INSERT INTO Observacion VALUES ('FALTA DE RESPETO','24/07/2021','44','24');</v>
      </c>
    </row>
    <row r="51" spans="3:8" ht="15" x14ac:dyDescent="0.25">
      <c r="C51" s="16" t="str">
        <f t="shared" si="1"/>
        <v>INCUMPLIMIENTO DE LABORES</v>
      </c>
      <c r="D51" s="66" t="s">
        <v>719</v>
      </c>
      <c r="E51" s="14">
        <v>45</v>
      </c>
      <c r="F51" s="15">
        <f>RandomSelection(EMPLEADO!$J$4:$J$91)</f>
        <v>5</v>
      </c>
      <c r="H51" s="4" t="str">
        <f t="shared" si="0"/>
        <v>INSERT INTO Observacion VALUES ('INCUMPLIMIENTO DE LABORES','3/08/2021','45','5');</v>
      </c>
    </row>
    <row r="52" spans="3:8" ht="15" x14ac:dyDescent="0.25">
      <c r="C52" s="16" t="str">
        <f t="shared" si="1"/>
        <v>FALTA DE RESPETO</v>
      </c>
      <c r="D52" s="66" t="s">
        <v>720</v>
      </c>
      <c r="E52" s="14">
        <v>46</v>
      </c>
      <c r="F52" s="15">
        <f>RandomSelection(EMPLEADO!$J$4:$J$91)</f>
        <v>29</v>
      </c>
      <c r="H52" s="4" t="str">
        <f t="shared" si="0"/>
        <v>INSERT INTO Observacion VALUES ('FALTA DE RESPETO','27/06/2021','46','29');</v>
      </c>
    </row>
    <row r="53" spans="3:8" ht="15" x14ac:dyDescent="0.25">
      <c r="C53" s="16" t="str">
        <f t="shared" si="1"/>
        <v>INCUMPLIMIENTO DE LABORES</v>
      </c>
      <c r="D53" s="66" t="s">
        <v>721</v>
      </c>
      <c r="E53" s="14">
        <v>47</v>
      </c>
      <c r="F53" s="15">
        <f>RandomSelection(EMPLEADO!$J$4:$J$91)</f>
        <v>38</v>
      </c>
      <c r="H53" s="4" t="str">
        <f t="shared" si="0"/>
        <v>INSERT INTO Observacion VALUES ('INCUMPLIMIENTO DE LABORES','17/09/2021','47','38');</v>
      </c>
    </row>
    <row r="54" spans="3:8" ht="15" x14ac:dyDescent="0.25">
      <c r="C54" s="16" t="str">
        <f t="shared" si="1"/>
        <v>INCUMPLIMIENTO DE LABORES</v>
      </c>
      <c r="D54" s="66" t="s">
        <v>722</v>
      </c>
      <c r="E54" s="14">
        <v>48</v>
      </c>
      <c r="F54" s="15">
        <f>RandomSelection(EMPLEADO!$J$4:$J$91)</f>
        <v>52</v>
      </c>
      <c r="H54" s="4" t="str">
        <f t="shared" si="0"/>
        <v>INSERT INTO Observacion VALUES ('INCUMPLIMIENTO DE LABORES','11/07/2021','48','52');</v>
      </c>
    </row>
    <row r="55" spans="3:8" ht="15" x14ac:dyDescent="0.25">
      <c r="C55" s="16" t="str">
        <f t="shared" si="1"/>
        <v>INCUMPLIMIENTO DE LABORES</v>
      </c>
      <c r="D55" s="66" t="s">
        <v>723</v>
      </c>
      <c r="E55" s="14">
        <v>49</v>
      </c>
      <c r="F55" s="15">
        <f>RandomSelection(EMPLEADO!$J$4:$J$91)</f>
        <v>14</v>
      </c>
      <c r="H55" s="4" t="str">
        <f t="shared" si="0"/>
        <v>INSERT INTO Observacion VALUES ('INCUMPLIMIENTO DE LABORES','2/09/2020','49','14');</v>
      </c>
    </row>
    <row r="56" spans="3:8" ht="15" x14ac:dyDescent="0.25">
      <c r="C56" s="16" t="str">
        <f t="shared" si="1"/>
        <v>FALTA DE RESPETO</v>
      </c>
      <c r="D56" s="66" t="s">
        <v>724</v>
      </c>
      <c r="E56" s="14">
        <v>50</v>
      </c>
      <c r="F56" s="15">
        <f>RandomSelection(EMPLEADO!$J$4:$J$91)</f>
        <v>15</v>
      </c>
      <c r="H56" s="4" t="str">
        <f t="shared" si="0"/>
        <v>INSERT INTO Observacion VALUES ('FALTA DE RESPETO','17/04/2021','50','15');</v>
      </c>
    </row>
    <row r="57" spans="3:8" ht="15" x14ac:dyDescent="0.25">
      <c r="C57" s="16"/>
      <c r="D57" s="66"/>
      <c r="E57" s="14"/>
      <c r="F57" s="15"/>
    </row>
    <row r="58" spans="3:8" ht="15" x14ac:dyDescent="0.25">
      <c r="C58" s="16"/>
      <c r="D58" s="66"/>
      <c r="E58" s="14"/>
      <c r="F58" s="15"/>
    </row>
  </sheetData>
  <mergeCells count="1">
    <mergeCell ref="C5:F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SEDE</vt:lpstr>
      <vt:lpstr>CARGO</vt:lpstr>
      <vt:lpstr>AREA</vt:lpstr>
      <vt:lpstr>APLICANTES</vt:lpstr>
      <vt:lpstr>REQUERIMIENTO</vt:lpstr>
      <vt:lpstr>Requerimientos_aplicantes</vt:lpstr>
      <vt:lpstr>RENDIMIENTO</vt:lpstr>
      <vt:lpstr>EMPLEADO</vt:lpstr>
      <vt:lpstr>ASISTENCIAS</vt:lpstr>
      <vt:lpstr>OBSERVACION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JHONATAN</dc:creator>
  <cp:lastModifiedBy>JHONATAN</cp:lastModifiedBy>
  <dcterms:created xsi:type="dcterms:W3CDTF">2021-09-21T04:58:03Z</dcterms:created>
  <dcterms:modified xsi:type="dcterms:W3CDTF">2021-11-20T20:54:27Z</dcterms:modified>
</cp:coreProperties>
</file>